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tr\OneDrive\Pivařka\1. vydání\Revize Tinseth\Program verze\"/>
    </mc:Choice>
  </mc:AlternateContent>
  <bookViews>
    <workbookView xWindow="0" yWindow="0" windowWidth="28800" windowHeight="11610"/>
  </bookViews>
  <sheets>
    <sheet name="estimation" sheetId="1" r:id="rId1"/>
    <sheet name="hops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1" l="1"/>
  <c r="F8" i="1"/>
  <c r="F12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6" i="1"/>
  <c r="F10" i="1"/>
  <c r="F11" i="1"/>
  <c r="F14" i="1"/>
  <c r="F13" i="1"/>
  <c r="F9" i="1"/>
  <c r="O2482" i="1" l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I331" i="1"/>
  <c r="O330" i="1"/>
  <c r="I330" i="1"/>
  <c r="O329" i="1"/>
  <c r="I329" i="1"/>
  <c r="O328" i="1"/>
  <c r="I328" i="1"/>
  <c r="O327" i="1"/>
  <c r="I327" i="1"/>
  <c r="O326" i="1"/>
  <c r="I326" i="1"/>
  <c r="O325" i="1"/>
  <c r="I325" i="1"/>
  <c r="O324" i="1"/>
  <c r="I324" i="1"/>
  <c r="O323" i="1"/>
  <c r="I323" i="1"/>
  <c r="O322" i="1"/>
  <c r="I322" i="1"/>
  <c r="O321" i="1"/>
  <c r="I321" i="1"/>
  <c r="O320" i="1"/>
  <c r="I320" i="1"/>
  <c r="O319" i="1"/>
  <c r="I319" i="1"/>
  <c r="O318" i="1"/>
  <c r="I318" i="1"/>
  <c r="O317" i="1"/>
  <c r="I317" i="1"/>
  <c r="O316" i="1"/>
  <c r="I316" i="1"/>
  <c r="O315" i="1"/>
  <c r="I315" i="1"/>
  <c r="O314" i="1"/>
  <c r="I314" i="1"/>
  <c r="O313" i="1"/>
  <c r="I313" i="1"/>
  <c r="O312" i="1"/>
  <c r="I312" i="1"/>
  <c r="O311" i="1"/>
  <c r="I311" i="1"/>
  <c r="O310" i="1"/>
  <c r="I310" i="1"/>
  <c r="O309" i="1"/>
  <c r="I309" i="1"/>
  <c r="O308" i="1"/>
  <c r="I308" i="1"/>
  <c r="O307" i="1"/>
  <c r="I307" i="1"/>
  <c r="O306" i="1"/>
  <c r="I306" i="1"/>
  <c r="O305" i="1"/>
  <c r="I305" i="1"/>
  <c r="O304" i="1"/>
  <c r="I304" i="1"/>
  <c r="O303" i="1"/>
  <c r="I303" i="1"/>
  <c r="O302" i="1"/>
  <c r="I302" i="1"/>
  <c r="O301" i="1"/>
  <c r="I301" i="1"/>
  <c r="O300" i="1"/>
  <c r="I300" i="1"/>
  <c r="O299" i="1"/>
  <c r="I299" i="1"/>
  <c r="O298" i="1"/>
  <c r="I298" i="1"/>
  <c r="O297" i="1"/>
  <c r="I297" i="1"/>
  <c r="O296" i="1"/>
  <c r="I296" i="1"/>
  <c r="O295" i="1"/>
  <c r="I295" i="1"/>
  <c r="O294" i="1"/>
  <c r="I294" i="1"/>
  <c r="O293" i="1"/>
  <c r="I293" i="1"/>
  <c r="O292" i="1"/>
  <c r="I292" i="1"/>
  <c r="O291" i="1"/>
  <c r="I291" i="1"/>
  <c r="O290" i="1"/>
  <c r="I290" i="1"/>
  <c r="O289" i="1"/>
  <c r="I289" i="1"/>
  <c r="O288" i="1"/>
  <c r="I288" i="1"/>
  <c r="O287" i="1"/>
  <c r="I287" i="1"/>
  <c r="O286" i="1"/>
  <c r="I286" i="1"/>
  <c r="O285" i="1"/>
  <c r="I285" i="1"/>
  <c r="O284" i="1"/>
  <c r="I284" i="1"/>
  <c r="O283" i="1"/>
  <c r="I283" i="1"/>
  <c r="O282" i="1"/>
  <c r="I282" i="1"/>
  <c r="O281" i="1"/>
  <c r="I281" i="1"/>
  <c r="O280" i="1"/>
  <c r="I280" i="1"/>
  <c r="O279" i="1"/>
  <c r="I279" i="1"/>
  <c r="O278" i="1"/>
  <c r="I278" i="1"/>
  <c r="O277" i="1"/>
  <c r="I277" i="1"/>
  <c r="O276" i="1"/>
  <c r="I276" i="1"/>
  <c r="O275" i="1"/>
  <c r="I275" i="1"/>
  <c r="O274" i="1"/>
  <c r="I274" i="1"/>
  <c r="O273" i="1"/>
  <c r="I273" i="1"/>
  <c r="O272" i="1"/>
  <c r="I272" i="1"/>
  <c r="O271" i="1"/>
  <c r="I271" i="1"/>
  <c r="O270" i="1"/>
  <c r="I270" i="1"/>
  <c r="O269" i="1"/>
  <c r="I269" i="1"/>
  <c r="O268" i="1"/>
  <c r="I268" i="1"/>
  <c r="O267" i="1"/>
  <c r="I267" i="1"/>
  <c r="O266" i="1"/>
  <c r="I266" i="1"/>
  <c r="O265" i="1"/>
  <c r="I265" i="1"/>
  <c r="O264" i="1"/>
  <c r="I264" i="1"/>
  <c r="O263" i="1"/>
  <c r="I263" i="1"/>
  <c r="O262" i="1"/>
  <c r="I262" i="1"/>
  <c r="O261" i="1"/>
  <c r="I261" i="1"/>
  <c r="O260" i="1"/>
  <c r="I260" i="1"/>
  <c r="O259" i="1"/>
  <c r="I259" i="1"/>
  <c r="O258" i="1"/>
  <c r="I258" i="1"/>
  <c r="O257" i="1"/>
  <c r="I257" i="1"/>
  <c r="O256" i="1"/>
  <c r="I256" i="1"/>
  <c r="O255" i="1"/>
  <c r="I255" i="1"/>
  <c r="O254" i="1"/>
  <c r="I254" i="1"/>
  <c r="O253" i="1"/>
  <c r="I253" i="1"/>
  <c r="O252" i="1"/>
  <c r="I252" i="1"/>
  <c r="O251" i="1"/>
  <c r="I251" i="1"/>
  <c r="O250" i="1"/>
  <c r="I250" i="1"/>
  <c r="O249" i="1"/>
  <c r="I249" i="1"/>
  <c r="O248" i="1"/>
  <c r="I248" i="1"/>
  <c r="O247" i="1"/>
  <c r="I247" i="1"/>
  <c r="O246" i="1"/>
  <c r="I246" i="1"/>
  <c r="O245" i="1"/>
  <c r="I245" i="1"/>
  <c r="O244" i="1"/>
  <c r="I244" i="1"/>
  <c r="O243" i="1"/>
  <c r="I243" i="1"/>
  <c r="O242" i="1"/>
  <c r="I242" i="1"/>
  <c r="O241" i="1"/>
  <c r="I241" i="1"/>
  <c r="O240" i="1"/>
  <c r="I240" i="1"/>
  <c r="O239" i="1"/>
  <c r="I239" i="1"/>
  <c r="O238" i="1"/>
  <c r="I238" i="1"/>
  <c r="O237" i="1"/>
  <c r="I237" i="1"/>
  <c r="O236" i="1"/>
  <c r="I236" i="1"/>
  <c r="O235" i="1"/>
  <c r="I235" i="1"/>
  <c r="O234" i="1"/>
  <c r="I234" i="1"/>
  <c r="O233" i="1"/>
  <c r="I233" i="1"/>
  <c r="O232" i="1"/>
  <c r="I232" i="1"/>
  <c r="O231" i="1"/>
  <c r="I231" i="1"/>
  <c r="O230" i="1"/>
  <c r="I230" i="1"/>
  <c r="O229" i="1"/>
  <c r="I229" i="1"/>
  <c r="O228" i="1"/>
  <c r="I228" i="1"/>
  <c r="O227" i="1"/>
  <c r="I227" i="1"/>
  <c r="O226" i="1"/>
  <c r="I226" i="1"/>
  <c r="O225" i="1"/>
  <c r="I225" i="1"/>
  <c r="O224" i="1"/>
  <c r="I224" i="1"/>
  <c r="O223" i="1"/>
  <c r="I223" i="1"/>
  <c r="O222" i="1"/>
  <c r="I222" i="1"/>
  <c r="O221" i="1"/>
  <c r="I221" i="1"/>
  <c r="O220" i="1"/>
  <c r="I220" i="1"/>
  <c r="O219" i="1"/>
  <c r="I219" i="1"/>
  <c r="O218" i="1"/>
  <c r="I218" i="1"/>
  <c r="O217" i="1"/>
  <c r="I217" i="1"/>
  <c r="O216" i="1"/>
  <c r="I216" i="1"/>
  <c r="O215" i="1"/>
  <c r="I215" i="1"/>
  <c r="O214" i="1"/>
  <c r="I214" i="1"/>
  <c r="O213" i="1"/>
  <c r="I213" i="1"/>
  <c r="O212" i="1"/>
  <c r="I212" i="1"/>
  <c r="O211" i="1"/>
  <c r="I211" i="1"/>
  <c r="O210" i="1"/>
  <c r="I210" i="1"/>
  <c r="O209" i="1"/>
  <c r="I209" i="1"/>
  <c r="O208" i="1"/>
  <c r="I208" i="1"/>
  <c r="O207" i="1"/>
  <c r="I207" i="1"/>
  <c r="O206" i="1"/>
  <c r="I206" i="1"/>
  <c r="O205" i="1"/>
  <c r="I205" i="1"/>
  <c r="O204" i="1"/>
  <c r="I204" i="1"/>
  <c r="O203" i="1"/>
  <c r="I203" i="1"/>
  <c r="O202" i="1"/>
  <c r="I202" i="1"/>
  <c r="O201" i="1"/>
  <c r="I201" i="1"/>
  <c r="O200" i="1"/>
  <c r="I200" i="1"/>
  <c r="O199" i="1"/>
  <c r="I199" i="1"/>
  <c r="O198" i="1"/>
  <c r="I198" i="1"/>
  <c r="O197" i="1"/>
  <c r="I197" i="1"/>
  <c r="O196" i="1"/>
  <c r="I196" i="1"/>
  <c r="O195" i="1"/>
  <c r="I195" i="1"/>
  <c r="O194" i="1"/>
  <c r="I194" i="1"/>
  <c r="O193" i="1"/>
  <c r="I193" i="1"/>
  <c r="O192" i="1"/>
  <c r="I192" i="1"/>
  <c r="O191" i="1"/>
  <c r="I191" i="1"/>
  <c r="O190" i="1"/>
  <c r="I190" i="1"/>
  <c r="O189" i="1"/>
  <c r="I189" i="1"/>
  <c r="O188" i="1"/>
  <c r="I188" i="1"/>
  <c r="O187" i="1"/>
  <c r="I187" i="1"/>
  <c r="O186" i="1"/>
  <c r="I186" i="1"/>
  <c r="O185" i="1"/>
  <c r="I185" i="1"/>
  <c r="O184" i="1"/>
  <c r="I184" i="1"/>
  <c r="O183" i="1"/>
  <c r="I183" i="1"/>
  <c r="O182" i="1"/>
  <c r="I182" i="1"/>
  <c r="O181" i="1"/>
  <c r="I181" i="1"/>
  <c r="O180" i="1"/>
  <c r="I180" i="1"/>
  <c r="O179" i="1"/>
  <c r="I179" i="1"/>
  <c r="O178" i="1"/>
  <c r="I178" i="1"/>
  <c r="O177" i="1"/>
  <c r="I177" i="1"/>
  <c r="O176" i="1"/>
  <c r="I176" i="1"/>
  <c r="O175" i="1"/>
  <c r="I175" i="1"/>
  <c r="O174" i="1"/>
  <c r="I174" i="1"/>
  <c r="O173" i="1"/>
  <c r="I173" i="1"/>
  <c r="O172" i="1"/>
  <c r="I172" i="1"/>
  <c r="O171" i="1"/>
  <c r="I171" i="1"/>
  <c r="O170" i="1"/>
  <c r="I170" i="1"/>
  <c r="O169" i="1"/>
  <c r="I169" i="1"/>
  <c r="O168" i="1"/>
  <c r="I168" i="1"/>
  <c r="O167" i="1"/>
  <c r="I167" i="1"/>
  <c r="O166" i="1"/>
  <c r="I166" i="1"/>
  <c r="O165" i="1"/>
  <c r="I165" i="1"/>
  <c r="O164" i="1"/>
  <c r="I164" i="1"/>
  <c r="O163" i="1"/>
  <c r="I163" i="1"/>
  <c r="O162" i="1"/>
  <c r="I162" i="1"/>
  <c r="O161" i="1"/>
  <c r="I161" i="1"/>
  <c r="O160" i="1"/>
  <c r="I160" i="1"/>
  <c r="O159" i="1"/>
  <c r="I159" i="1"/>
  <c r="O158" i="1"/>
  <c r="I158" i="1"/>
  <c r="O157" i="1"/>
  <c r="I157" i="1"/>
  <c r="O156" i="1"/>
  <c r="I156" i="1"/>
  <c r="O155" i="1"/>
  <c r="I155" i="1"/>
  <c r="O154" i="1"/>
  <c r="I154" i="1"/>
  <c r="O153" i="1"/>
  <c r="I153" i="1"/>
  <c r="O152" i="1"/>
  <c r="I152" i="1"/>
  <c r="O151" i="1"/>
  <c r="I151" i="1"/>
  <c r="O150" i="1"/>
  <c r="I150" i="1"/>
  <c r="O149" i="1"/>
  <c r="I149" i="1"/>
  <c r="O148" i="1"/>
  <c r="I148" i="1"/>
  <c r="O147" i="1"/>
  <c r="I147" i="1"/>
  <c r="O146" i="1"/>
  <c r="I146" i="1"/>
  <c r="O145" i="1"/>
  <c r="I145" i="1"/>
  <c r="O144" i="1"/>
  <c r="I144" i="1"/>
  <c r="O143" i="1"/>
  <c r="I143" i="1"/>
  <c r="O142" i="1"/>
  <c r="I142" i="1"/>
  <c r="O141" i="1"/>
  <c r="I141" i="1"/>
  <c r="O140" i="1"/>
  <c r="I140" i="1"/>
  <c r="O139" i="1"/>
  <c r="I139" i="1"/>
  <c r="O138" i="1"/>
  <c r="I138" i="1"/>
  <c r="O137" i="1"/>
  <c r="I137" i="1"/>
  <c r="O136" i="1"/>
  <c r="I136" i="1"/>
  <c r="O135" i="1"/>
  <c r="I135" i="1"/>
  <c r="O134" i="1"/>
  <c r="I134" i="1"/>
  <c r="O133" i="1"/>
  <c r="I133" i="1"/>
  <c r="O132" i="1"/>
  <c r="I132" i="1"/>
  <c r="O131" i="1"/>
  <c r="I131" i="1"/>
  <c r="O130" i="1"/>
  <c r="I130" i="1"/>
  <c r="O129" i="1"/>
  <c r="I129" i="1"/>
  <c r="O128" i="1"/>
  <c r="I128" i="1"/>
  <c r="O127" i="1"/>
  <c r="I127" i="1"/>
  <c r="O126" i="1"/>
  <c r="I126" i="1"/>
  <c r="O125" i="1"/>
  <c r="I125" i="1"/>
  <c r="O124" i="1"/>
  <c r="I124" i="1"/>
  <c r="O123" i="1"/>
  <c r="I123" i="1"/>
  <c r="O122" i="1"/>
  <c r="I122" i="1"/>
  <c r="O121" i="1"/>
  <c r="I121" i="1"/>
  <c r="O120" i="1"/>
  <c r="I120" i="1"/>
  <c r="O119" i="1"/>
  <c r="I119" i="1"/>
  <c r="O118" i="1"/>
  <c r="I118" i="1"/>
  <c r="O117" i="1"/>
  <c r="I117" i="1"/>
  <c r="O116" i="1"/>
  <c r="I116" i="1"/>
  <c r="O115" i="1"/>
  <c r="I115" i="1"/>
  <c r="O114" i="1"/>
  <c r="I114" i="1"/>
  <c r="O113" i="1"/>
  <c r="I113" i="1"/>
  <c r="O112" i="1"/>
  <c r="I112" i="1"/>
  <c r="O111" i="1"/>
  <c r="I111" i="1"/>
  <c r="O110" i="1"/>
  <c r="I110" i="1"/>
  <c r="O109" i="1"/>
  <c r="I109" i="1"/>
  <c r="O108" i="1"/>
  <c r="I108" i="1"/>
  <c r="O107" i="1"/>
  <c r="I107" i="1"/>
  <c r="O106" i="1"/>
  <c r="I106" i="1"/>
  <c r="O105" i="1"/>
  <c r="I105" i="1"/>
  <c r="O104" i="1"/>
  <c r="I104" i="1"/>
  <c r="O103" i="1"/>
  <c r="I103" i="1"/>
  <c r="O102" i="1"/>
  <c r="I102" i="1"/>
  <c r="O101" i="1"/>
  <c r="I101" i="1"/>
  <c r="O100" i="1"/>
  <c r="I100" i="1"/>
  <c r="O99" i="1"/>
  <c r="I99" i="1"/>
  <c r="O98" i="1"/>
  <c r="I98" i="1"/>
  <c r="O97" i="1"/>
  <c r="I97" i="1"/>
  <c r="O96" i="1"/>
  <c r="I96" i="1"/>
  <c r="O95" i="1"/>
  <c r="I95" i="1"/>
  <c r="O94" i="1"/>
  <c r="I94" i="1"/>
  <c r="O93" i="1"/>
  <c r="I93" i="1"/>
  <c r="O92" i="1"/>
  <c r="I92" i="1"/>
  <c r="O91" i="1"/>
  <c r="I91" i="1"/>
  <c r="O90" i="1"/>
  <c r="I90" i="1"/>
  <c r="O89" i="1"/>
  <c r="I89" i="1"/>
  <c r="O88" i="1"/>
  <c r="I88" i="1"/>
  <c r="O87" i="1"/>
  <c r="I87" i="1"/>
  <c r="O86" i="1"/>
  <c r="I86" i="1"/>
  <c r="O85" i="1"/>
  <c r="I85" i="1"/>
  <c r="O84" i="1"/>
  <c r="I84" i="1"/>
  <c r="O83" i="1"/>
  <c r="I83" i="1"/>
  <c r="O82" i="1"/>
  <c r="I82" i="1"/>
  <c r="O81" i="1"/>
  <c r="I81" i="1"/>
  <c r="O80" i="1"/>
  <c r="I80" i="1"/>
  <c r="O79" i="1"/>
  <c r="I79" i="1"/>
  <c r="O78" i="1"/>
  <c r="I78" i="1"/>
  <c r="O77" i="1"/>
  <c r="I77" i="1"/>
  <c r="O76" i="1"/>
  <c r="I76" i="1"/>
  <c r="O75" i="1"/>
  <c r="I75" i="1"/>
  <c r="O74" i="1"/>
  <c r="I74" i="1"/>
  <c r="O73" i="1"/>
  <c r="I73" i="1"/>
  <c r="O72" i="1"/>
  <c r="I72" i="1"/>
  <c r="O71" i="1"/>
  <c r="I71" i="1"/>
  <c r="O70" i="1"/>
  <c r="I70" i="1"/>
  <c r="O69" i="1"/>
  <c r="I69" i="1"/>
  <c r="O68" i="1"/>
  <c r="I68" i="1"/>
  <c r="O67" i="1"/>
  <c r="I67" i="1"/>
  <c r="O66" i="1"/>
  <c r="I66" i="1"/>
  <c r="O65" i="1"/>
  <c r="I65" i="1"/>
  <c r="O64" i="1"/>
  <c r="I64" i="1"/>
  <c r="O63" i="1"/>
  <c r="I63" i="1"/>
  <c r="O62" i="1"/>
  <c r="I62" i="1"/>
  <c r="O61" i="1"/>
  <c r="I61" i="1"/>
  <c r="O60" i="1"/>
  <c r="I60" i="1"/>
  <c r="O59" i="1"/>
  <c r="I59" i="1"/>
  <c r="O58" i="1"/>
  <c r="I58" i="1"/>
  <c r="O57" i="1"/>
  <c r="I57" i="1"/>
  <c r="O56" i="1"/>
  <c r="I56" i="1"/>
  <c r="O55" i="1"/>
  <c r="I55" i="1"/>
  <c r="O54" i="1"/>
  <c r="I54" i="1"/>
  <c r="O53" i="1"/>
  <c r="I53" i="1"/>
  <c r="O52" i="1"/>
  <c r="I52" i="1"/>
  <c r="O51" i="1"/>
  <c r="I51" i="1"/>
  <c r="O50" i="1"/>
  <c r="I50" i="1"/>
  <c r="O49" i="1"/>
  <c r="I49" i="1"/>
  <c r="O48" i="1"/>
  <c r="I48" i="1"/>
  <c r="O47" i="1"/>
  <c r="I47" i="1"/>
  <c r="O46" i="1"/>
  <c r="I46" i="1"/>
  <c r="O45" i="1"/>
  <c r="I45" i="1"/>
  <c r="O44" i="1"/>
  <c r="I44" i="1"/>
  <c r="O43" i="1"/>
  <c r="I43" i="1"/>
  <c r="O42" i="1"/>
  <c r="I42" i="1"/>
  <c r="O41" i="1"/>
  <c r="I41" i="1"/>
  <c r="O40" i="1"/>
  <c r="I40" i="1"/>
  <c r="O39" i="1"/>
  <c r="I39" i="1"/>
  <c r="O38" i="1"/>
  <c r="I38" i="1"/>
  <c r="O37" i="1"/>
  <c r="I37" i="1"/>
  <c r="O36" i="1"/>
  <c r="I36" i="1"/>
  <c r="O35" i="1"/>
  <c r="I35" i="1"/>
  <c r="O34" i="1"/>
  <c r="I34" i="1"/>
  <c r="O33" i="1"/>
  <c r="I33" i="1"/>
  <c r="O32" i="1"/>
  <c r="I32" i="1"/>
  <c r="O31" i="1"/>
  <c r="I31" i="1"/>
  <c r="O30" i="1"/>
  <c r="I30" i="1"/>
  <c r="O29" i="1"/>
  <c r="I29" i="1"/>
  <c r="O28" i="1"/>
  <c r="I28" i="1"/>
  <c r="O27" i="1"/>
  <c r="I27" i="1"/>
  <c r="O26" i="1"/>
  <c r="I26" i="1"/>
  <c r="O25" i="1"/>
  <c r="I25" i="1"/>
  <c r="O24" i="1"/>
  <c r="I24" i="1"/>
  <c r="O23" i="1"/>
  <c r="I23" i="1"/>
  <c r="O22" i="1"/>
  <c r="I22" i="1"/>
  <c r="O21" i="1"/>
  <c r="I21" i="1"/>
  <c r="O20" i="1"/>
  <c r="I20" i="1"/>
  <c r="O19" i="1"/>
  <c r="I19" i="1"/>
  <c r="O18" i="1"/>
  <c r="I18" i="1"/>
  <c r="O17" i="1"/>
  <c r="I17" i="1"/>
  <c r="O16" i="1"/>
  <c r="I16" i="1"/>
  <c r="O15" i="1"/>
  <c r="I15" i="1"/>
  <c r="O14" i="1"/>
  <c r="I14" i="1"/>
  <c r="O13" i="1"/>
  <c r="I13" i="1"/>
  <c r="O12" i="1"/>
  <c r="I12" i="1"/>
  <c r="O11" i="1"/>
  <c r="I11" i="1"/>
  <c r="O10" i="1"/>
  <c r="I10" i="1"/>
  <c r="O9" i="1"/>
  <c r="I9" i="1"/>
  <c r="O8" i="1"/>
  <c r="I8" i="1"/>
  <c r="O7" i="1"/>
  <c r="I7" i="1"/>
  <c r="O6" i="1"/>
  <c r="K6" i="1"/>
  <c r="I6" i="1"/>
  <c r="O5" i="1"/>
  <c r="O4" i="1"/>
  <c r="O3" i="1"/>
  <c r="O2" i="1"/>
  <c r="L19" i="1"/>
  <c r="K18" i="1"/>
</calcChain>
</file>

<file path=xl/comments1.xml><?xml version="1.0" encoding="utf-8"?>
<comments xmlns="http://schemas.openxmlformats.org/spreadsheetml/2006/main">
  <authors>
    <author>Petr Novotný</author>
  </authors>
  <commentList>
    <comment ref="D5" authorId="0" shapeId="0">
      <text>
        <r>
          <rPr>
            <b/>
            <sz val="9"/>
            <color indexed="81"/>
            <rFont val="Tahoma"/>
            <family val="2"/>
            <charset val="238"/>
          </rPr>
          <t>Petr Novotný:</t>
        </r>
        <r>
          <rPr>
            <sz val="9"/>
            <color indexed="81"/>
            <rFont val="Tahoma"/>
            <family val="2"/>
            <charset val="238"/>
          </rPr>
          <t xml:space="preserve">
Pelets = P
Cones = C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add whatever you want</t>
        </r>
      </text>
    </comment>
  </commentList>
</comments>
</file>

<file path=xl/sharedStrings.xml><?xml version="1.0" encoding="utf-8"?>
<sst xmlns="http://schemas.openxmlformats.org/spreadsheetml/2006/main" count="1061" uniqueCount="91">
  <si>
    <t>IBU</t>
  </si>
  <si>
    <t>m (g)</t>
  </si>
  <si>
    <t>α (%)</t>
  </si>
  <si>
    <t>t (°C)</t>
  </si>
  <si>
    <r>
      <t>iso-</t>
    </r>
    <r>
      <rPr>
        <sz val="11"/>
        <color theme="1"/>
        <rFont val="Calibri"/>
        <family val="2"/>
        <charset val="238"/>
      </rPr>
      <t>α</t>
    </r>
  </si>
  <si>
    <t>cA (mg/L)</t>
  </si>
  <si>
    <t>cB (mg/L)</t>
  </si>
  <si>
    <t>cC (mg/L)</t>
  </si>
  <si>
    <t>SG</t>
  </si>
  <si>
    <t>°P</t>
  </si>
  <si>
    <t>-</t>
  </si>
  <si>
    <t>-------</t>
  </si>
  <si>
    <t>Agnus</t>
  </si>
  <si>
    <t>Ahtanum</t>
  </si>
  <si>
    <t>Amarillo</t>
  </si>
  <si>
    <t>Bor</t>
  </si>
  <si>
    <t>Bramling Cross</t>
  </si>
  <si>
    <t>Bravo</t>
  </si>
  <si>
    <t>Brewers Gold</t>
  </si>
  <si>
    <t>Cascade</t>
  </si>
  <si>
    <t>Centennial</t>
  </si>
  <si>
    <t>Citra</t>
  </si>
  <si>
    <t>Columbus</t>
  </si>
  <si>
    <t>Crystal</t>
  </si>
  <si>
    <t>El Dorado</t>
  </si>
  <si>
    <t>Equinox</t>
  </si>
  <si>
    <t>Fuggles</t>
  </si>
  <si>
    <t>Galaxy</t>
  </si>
  <si>
    <t>Galena</t>
  </si>
  <si>
    <t>Golding</t>
  </si>
  <si>
    <t>Hallertau Magnum</t>
  </si>
  <si>
    <t>Hallertauer Mittelfrueh</t>
  </si>
  <si>
    <t>Harmonie</t>
  </si>
  <si>
    <t>HBC 342</t>
  </si>
  <si>
    <t>Herkules</t>
  </si>
  <si>
    <t>Challenger</t>
  </si>
  <si>
    <t>Chinook</t>
  </si>
  <si>
    <t>Kazbek</t>
  </si>
  <si>
    <t>Magnum</t>
  </si>
  <si>
    <t>Mandarina</t>
  </si>
  <si>
    <t>Melon</t>
  </si>
  <si>
    <t>Mosaic</t>
  </si>
  <si>
    <t>Motueka</t>
  </si>
  <si>
    <t>Nelson Sauvin</t>
  </si>
  <si>
    <t>Northern brewer</t>
  </si>
  <si>
    <t>Nugget</t>
  </si>
  <si>
    <t>Pacific Gem</t>
  </si>
  <si>
    <t>Perle</t>
  </si>
  <si>
    <t>Premiant</t>
  </si>
  <si>
    <t>Rakau</t>
  </si>
  <si>
    <t>Saaz Late</t>
  </si>
  <si>
    <t>Saphir</t>
  </si>
  <si>
    <t>Simcoe</t>
  </si>
  <si>
    <t>Sládek</t>
  </si>
  <si>
    <t>Sorachi Ace</t>
  </si>
  <si>
    <t>SPALT MITTELFRUH</t>
  </si>
  <si>
    <t>Summit</t>
  </si>
  <si>
    <t>Target</t>
  </si>
  <si>
    <t>Tettnanger</t>
  </si>
  <si>
    <t>Tomahawk</t>
  </si>
  <si>
    <t>Wilamette</t>
  </si>
  <si>
    <t>ŽPČ</t>
  </si>
  <si>
    <t>Cluster</t>
  </si>
  <si>
    <t>East Kent Goldings</t>
  </si>
  <si>
    <t>Eroica</t>
  </si>
  <si>
    <t>Hallertauer (domestic)</t>
  </si>
  <si>
    <t>Liberty</t>
  </si>
  <si>
    <t>Mt. Hood</t>
  </si>
  <si>
    <t>Pride of Ringwood</t>
  </si>
  <si>
    <t>Spalt (domestic)</t>
  </si>
  <si>
    <t>Styrian Goldings</t>
  </si>
  <si>
    <r>
      <rPr>
        <b/>
        <sz val="18"/>
        <color theme="1"/>
        <rFont val="Calibri"/>
        <family val="2"/>
        <charset val="238"/>
      </rPr>
      <t>α</t>
    </r>
    <r>
      <rPr>
        <b/>
        <sz val="18"/>
        <color theme="1"/>
        <rFont val="Calibri"/>
        <family val="2"/>
        <charset val="238"/>
        <scheme val="minor"/>
      </rPr>
      <t xml:space="preserve"> %</t>
    </r>
  </si>
  <si>
    <t>P</t>
  </si>
  <si>
    <t>% IBU</t>
  </si>
  <si>
    <t>Nový1</t>
  </si>
  <si>
    <t>Nový2</t>
  </si>
  <si>
    <t>Nový3</t>
  </si>
  <si>
    <t>Nový4</t>
  </si>
  <si>
    <t>Volume (L)</t>
  </si>
  <si>
    <t>Wort / OG (°P)</t>
  </si>
  <si>
    <t>time</t>
  </si>
  <si>
    <t>hops</t>
  </si>
  <si>
    <t>type</t>
  </si>
  <si>
    <t># of events</t>
  </si>
  <si>
    <t>Final results</t>
  </si>
  <si>
    <t>α-acids</t>
  </si>
  <si>
    <t>Conversion Plato vs. SG</t>
  </si>
  <si>
    <r>
      <rPr>
        <b/>
        <sz val="24"/>
        <color rgb="FF00B050"/>
        <rFont val="Berlin Sans FB Demi"/>
        <family val="2"/>
      </rPr>
      <t>IBU Estimation</t>
    </r>
    <r>
      <rPr>
        <b/>
        <sz val="24"/>
        <color theme="1"/>
        <rFont val="Berlin Sans FB Demi"/>
        <family val="2"/>
      </rPr>
      <t xml:space="preserve">      </t>
    </r>
    <r>
      <rPr>
        <b/>
        <sz val="10"/>
        <color theme="1"/>
        <rFont val="Berlin Sans FB Demi"/>
        <family val="2"/>
      </rPr>
      <t xml:space="preserve">(c) </t>
    </r>
    <r>
      <rPr>
        <sz val="10"/>
        <color theme="1"/>
        <rFont val="Berlin Sans FB Demi"/>
        <family val="2"/>
      </rPr>
      <t>Petr Novotný, 2016</t>
    </r>
  </si>
  <si>
    <t>boil time</t>
  </si>
  <si>
    <t>real time (min)</t>
  </si>
  <si>
    <t>Hops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</si>
</sst>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"/>
    <numFmt numFmtId="166" formatCode="0.0%"/>
  </numFmts>
  <fonts count="20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1"/>
      <name val="Arial"/>
      <family val="2"/>
      <charset val="238"/>
    </font>
    <font>
      <sz val="11"/>
      <color theme="1"/>
      <name val="Calibri"/>
      <family val="2"/>
      <charset val="238"/>
    </font>
    <font>
      <b/>
      <sz val="14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9"/>
      <color indexed="81"/>
      <name val="Tahoma"/>
      <family val="2"/>
      <charset val="238"/>
    </font>
    <font>
      <sz val="9"/>
      <color indexed="81"/>
      <name val="Tahoma"/>
      <family val="2"/>
      <charset val="238"/>
    </font>
    <font>
      <sz val="10"/>
      <color rgb="FF00000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sz val="18"/>
      <color theme="1"/>
      <name val="Calibri"/>
      <family val="2"/>
      <charset val="238"/>
    </font>
    <font>
      <b/>
      <sz val="11"/>
      <color theme="1"/>
      <name val="Calibri"/>
      <family val="2"/>
      <charset val="238"/>
    </font>
    <font>
      <b/>
      <sz val="24"/>
      <color theme="1"/>
      <name val="Berlin Sans FB Demi"/>
      <family val="2"/>
    </font>
    <font>
      <b/>
      <sz val="24"/>
      <color rgb="FF00B050"/>
      <name val="Berlin Sans FB Demi"/>
      <family val="2"/>
    </font>
    <font>
      <b/>
      <sz val="10"/>
      <color theme="1"/>
      <name val="Berlin Sans FB Demi"/>
      <family val="2"/>
    </font>
    <font>
      <sz val="10"/>
      <color theme="1"/>
      <name val="Berlin Sans FB Demi"/>
      <family val="2"/>
    </font>
    <font>
      <b/>
      <sz val="16"/>
      <color rgb="FFFF0000"/>
      <name val="Calibri"/>
      <family val="2"/>
      <charset val="238"/>
    </font>
    <font>
      <sz val="11"/>
      <color rgb="FF000000"/>
      <name val="Calibri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1">
    <xf numFmtId="0" fontId="0" fillId="0" borderId="0" xfId="0"/>
    <xf numFmtId="0" fontId="0" fillId="0" borderId="0" xfId="0" applyProtection="1"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5" fontId="0" fillId="0" borderId="5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Border="1" applyAlignment="1" applyProtection="1">
      <alignment horizontal="center" vertical="center"/>
      <protection locked="0"/>
    </xf>
    <xf numFmtId="2" fontId="0" fillId="0" borderId="0" xfId="0" applyNumberFormat="1" applyBorder="1" applyAlignment="1" applyProtection="1">
      <alignment horizontal="center" vertical="center"/>
      <protection locked="0"/>
    </xf>
    <xf numFmtId="1" fontId="0" fillId="6" borderId="7" xfId="0" applyNumberFormat="1" applyFill="1" applyBorder="1" applyAlignment="1" applyProtection="1">
      <alignment horizontal="center"/>
      <protection locked="0"/>
    </xf>
    <xf numFmtId="1" fontId="0" fillId="4" borderId="14" xfId="0" applyNumberFormat="1" applyFill="1" applyBorder="1" applyAlignment="1" applyProtection="1">
      <alignment horizontal="center"/>
      <protection locked="0"/>
    </xf>
    <xf numFmtId="0" fontId="0" fillId="0" borderId="6" xfId="0" applyFill="1" applyBorder="1" applyAlignment="1" applyProtection="1">
      <alignment horizontal="center" vertical="center"/>
      <protection locked="0"/>
    </xf>
    <xf numFmtId="0" fontId="0" fillId="0" borderId="8" xfId="0" applyBorder="1" applyProtection="1"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0" fontId="3" fillId="3" borderId="15" xfId="0" applyFont="1" applyFill="1" applyBorder="1" applyAlignment="1" applyProtection="1">
      <alignment horizontal="center"/>
      <protection hidden="1"/>
    </xf>
    <xf numFmtId="0" fontId="3" fillId="3" borderId="10" xfId="0" applyFont="1" applyFill="1" applyBorder="1" applyAlignment="1" applyProtection="1">
      <alignment horizontal="center"/>
      <protection hidden="1"/>
    </xf>
    <xf numFmtId="0" fontId="3" fillId="3" borderId="11" xfId="0" applyFont="1" applyFill="1" applyBorder="1" applyAlignment="1" applyProtection="1">
      <alignment horizontal="center"/>
      <protection hidden="1"/>
    </xf>
    <xf numFmtId="0" fontId="2" fillId="0" borderId="15" xfId="0" applyFont="1" applyBorder="1" applyAlignment="1" applyProtection="1">
      <alignment horizontal="center"/>
      <protection hidden="1"/>
    </xf>
    <xf numFmtId="0" fontId="2" fillId="0" borderId="11" xfId="0" applyFont="1" applyBorder="1" applyAlignment="1" applyProtection="1">
      <alignment horizontal="center"/>
      <protection hidden="1"/>
    </xf>
    <xf numFmtId="165" fontId="0" fillId="8" borderId="2" xfId="0" applyNumberFormat="1" applyFill="1" applyBorder="1" applyAlignment="1" applyProtection="1">
      <alignment horizontal="center"/>
      <protection hidden="1"/>
    </xf>
    <xf numFmtId="164" fontId="0" fillId="8" borderId="9" xfId="0" applyNumberFormat="1" applyFill="1" applyBorder="1" applyAlignment="1" applyProtection="1">
      <alignment horizontal="center"/>
      <protection hidden="1"/>
    </xf>
    <xf numFmtId="0" fontId="2" fillId="4" borderId="15" xfId="0" applyFont="1" applyFill="1" applyBorder="1" applyAlignment="1" applyProtection="1">
      <alignment horizontal="center" vertical="center"/>
      <protection hidden="1"/>
    </xf>
    <xf numFmtId="0" fontId="2" fillId="4" borderId="10" xfId="0" applyFont="1" applyFill="1" applyBorder="1" applyAlignment="1" applyProtection="1">
      <alignment horizontal="center" vertical="center"/>
      <protection hidden="1"/>
    </xf>
    <xf numFmtId="165" fontId="0" fillId="0" borderId="13" xfId="0" applyNumberFormat="1" applyFill="1" applyBorder="1" applyAlignment="1" applyProtection="1">
      <alignment horizontal="center"/>
      <protection locked="0"/>
    </xf>
    <xf numFmtId="0" fontId="0" fillId="0" borderId="5" xfId="0" applyFont="1" applyFill="1" applyBorder="1" applyAlignment="1" applyProtection="1">
      <protection locked="0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10" borderId="0" xfId="0" applyFill="1" applyProtection="1"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0" xfId="0" applyFill="1" applyBorder="1" applyProtection="1">
      <protection locked="0"/>
    </xf>
    <xf numFmtId="9" fontId="0" fillId="10" borderId="0" xfId="1" applyFont="1" applyFill="1" applyBorder="1" applyProtection="1">
      <protection locked="0"/>
    </xf>
    <xf numFmtId="0" fontId="0" fillId="10" borderId="0" xfId="0" applyFill="1" applyAlignment="1" applyProtection="1">
      <alignment horizontal="center"/>
      <protection locked="0"/>
    </xf>
    <xf numFmtId="9" fontId="0" fillId="10" borderId="0" xfId="1" applyFont="1" applyFill="1" applyBorder="1" applyAlignment="1" applyProtection="1">
      <alignment vertical="center" wrapText="1"/>
      <protection locked="0"/>
    </xf>
    <xf numFmtId="9" fontId="2" fillId="10" borderId="0" xfId="1" applyFont="1" applyFill="1" applyBorder="1" applyAlignment="1" applyProtection="1">
      <alignment vertical="center" wrapText="1"/>
      <protection locked="0"/>
    </xf>
    <xf numFmtId="0" fontId="0" fillId="10" borderId="0" xfId="0" applyFill="1" applyBorder="1" applyAlignment="1" applyProtection="1">
      <alignment vertical="center" wrapText="1"/>
      <protection locked="0"/>
    </xf>
    <xf numFmtId="165" fontId="0" fillId="0" borderId="0" xfId="0" applyNumberFormat="1" applyAlignment="1" applyProtection="1">
      <alignment horizontal="center"/>
      <protection locked="0"/>
    </xf>
    <xf numFmtId="2" fontId="0" fillId="0" borderId="5" xfId="0" applyNumberFormat="1" applyBorder="1" applyAlignment="1" applyProtection="1">
      <alignment horizontal="center" vertical="center"/>
      <protection locked="0"/>
    </xf>
    <xf numFmtId="165" fontId="0" fillId="0" borderId="6" xfId="0" applyNumberFormat="1" applyBorder="1" applyAlignment="1" applyProtection="1">
      <alignment horizontal="center" vertical="center"/>
      <protection locked="0"/>
    </xf>
    <xf numFmtId="2" fontId="0" fillId="0" borderId="0" xfId="0" applyNumberFormat="1" applyBorder="1" applyAlignment="1" applyProtection="1">
      <alignment horizontal="center"/>
      <protection locked="0"/>
    </xf>
    <xf numFmtId="165" fontId="0" fillId="0" borderId="6" xfId="0" applyNumberFormat="1" applyBorder="1" applyAlignment="1" applyProtection="1">
      <alignment horizontal="center"/>
      <protection locked="0"/>
    </xf>
    <xf numFmtId="0" fontId="2" fillId="4" borderId="11" xfId="0" applyFont="1" applyFill="1" applyBorder="1" applyAlignment="1" applyProtection="1">
      <alignment horizontal="center" vertical="center"/>
      <protection hidden="1"/>
    </xf>
    <xf numFmtId="165" fontId="0" fillId="0" borderId="5" xfId="0" applyNumberFormat="1" applyBorder="1" applyAlignment="1" applyProtection="1">
      <alignment horizontal="center"/>
      <protection locked="0"/>
    </xf>
    <xf numFmtId="0" fontId="2" fillId="4" borderId="1" xfId="0" applyFont="1" applyFill="1" applyBorder="1" applyAlignment="1" applyProtection="1">
      <alignment horizontal="center" vertical="center"/>
      <protection hidden="1"/>
    </xf>
    <xf numFmtId="165" fontId="0" fillId="0" borderId="13" xfId="0" applyNumberFormat="1" applyBorder="1" applyAlignment="1" applyProtection="1">
      <alignment horizontal="center"/>
      <protection locked="0"/>
    </xf>
    <xf numFmtId="165" fontId="0" fillId="0" borderId="13" xfId="0" applyNumberFormat="1" applyBorder="1" applyAlignment="1" applyProtection="1">
      <alignment horizontal="center" vertical="center"/>
      <protection locked="0"/>
    </xf>
    <xf numFmtId="165" fontId="0" fillId="10" borderId="0" xfId="0" applyNumberFormat="1" applyFill="1" applyBorder="1" applyAlignment="1" applyProtection="1">
      <alignment horizontal="center"/>
      <protection locked="0"/>
    </xf>
    <xf numFmtId="0" fontId="0" fillId="9" borderId="15" xfId="0" applyFill="1" applyBorder="1" applyAlignment="1" applyProtection="1">
      <alignment horizontal="center" vertical="center"/>
      <protection hidden="1"/>
    </xf>
    <xf numFmtId="0" fontId="0" fillId="9" borderId="1" xfId="0" applyFill="1" applyBorder="1" applyAlignment="1" applyProtection="1">
      <alignment horizontal="center" vertical="center"/>
      <protection hidden="1"/>
    </xf>
    <xf numFmtId="0" fontId="0" fillId="0" borderId="6" xfId="0" applyFill="1" applyBorder="1" applyProtection="1">
      <protection locked="0"/>
    </xf>
    <xf numFmtId="0" fontId="0" fillId="0" borderId="9" xfId="0" applyFill="1" applyBorder="1" applyProtection="1">
      <protection locked="0"/>
    </xf>
    <xf numFmtId="0" fontId="0" fillId="10" borderId="6" xfId="0" applyFill="1" applyBorder="1" applyProtection="1">
      <protection locked="0"/>
    </xf>
    <xf numFmtId="165" fontId="0" fillId="10" borderId="0" xfId="0" applyNumberFormat="1" applyFill="1" applyBorder="1" applyAlignment="1" applyProtection="1">
      <protection locked="0"/>
    </xf>
    <xf numFmtId="0" fontId="0" fillId="10" borderId="0" xfId="0" applyFill="1"/>
    <xf numFmtId="0" fontId="0" fillId="0" borderId="0" xfId="0" applyAlignment="1" applyProtection="1">
      <alignment horizontal="center"/>
    </xf>
    <xf numFmtId="0" fontId="7" fillId="3" borderId="2" xfId="0" applyFont="1" applyFill="1" applyBorder="1" applyAlignment="1" applyProtection="1">
      <alignment horizontal="center"/>
    </xf>
    <xf numFmtId="0" fontId="7" fillId="0" borderId="12" xfId="0" applyFont="1" applyBorder="1" applyAlignment="1" applyProtection="1">
      <alignment horizontal="center"/>
    </xf>
    <xf numFmtId="0" fontId="10" fillId="0" borderId="5" xfId="0" applyFont="1" applyFill="1" applyBorder="1" applyAlignment="1" applyProtection="1">
      <protection locked="0"/>
    </xf>
    <xf numFmtId="0" fontId="11" fillId="0" borderId="5" xfId="0" applyFont="1" applyFill="1" applyBorder="1" applyAlignment="1" applyProtection="1">
      <alignment vertical="center" wrapText="1"/>
      <protection locked="0"/>
    </xf>
    <xf numFmtId="0" fontId="0" fillId="0" borderId="5" xfId="0" applyFont="1" applyBorder="1" applyAlignment="1" applyProtection="1">
      <alignment vertical="center" wrapText="1"/>
      <protection locked="0"/>
    </xf>
    <xf numFmtId="0" fontId="0" fillId="0" borderId="5" xfId="0" applyBorder="1" applyProtection="1">
      <protection locked="0"/>
    </xf>
    <xf numFmtId="0" fontId="0" fillId="0" borderId="7" xfId="0" applyBorder="1" applyProtection="1">
      <protection locked="0"/>
    </xf>
    <xf numFmtId="49" fontId="0" fillId="0" borderId="2" xfId="0" quotePrefix="1" applyNumberFormat="1" applyFont="1" applyBorder="1" applyAlignment="1" applyProtection="1"/>
    <xf numFmtId="165" fontId="0" fillId="0" borderId="12" xfId="0" applyNumberFormat="1" applyBorder="1" applyAlignment="1" applyProtection="1">
      <alignment horizontal="center"/>
    </xf>
    <xf numFmtId="166" fontId="0" fillId="0" borderId="0" xfId="1" applyNumberFormat="1" applyFont="1" applyFill="1" applyBorder="1" applyAlignment="1" applyProtection="1">
      <alignment horizontal="center" vertical="center"/>
      <protection hidden="1"/>
    </xf>
    <xf numFmtId="166" fontId="0" fillId="0" borderId="4" xfId="0" applyNumberFormat="1" applyFill="1" applyBorder="1" applyAlignment="1" applyProtection="1">
      <alignment horizontal="center" vertical="center"/>
      <protection hidden="1"/>
    </xf>
    <xf numFmtId="166" fontId="0" fillId="0" borderId="6" xfId="0" applyNumberFormat="1" applyFill="1" applyBorder="1" applyAlignment="1" applyProtection="1">
      <alignment horizontal="center" vertical="center"/>
      <protection hidden="1"/>
    </xf>
    <xf numFmtId="10" fontId="0" fillId="0" borderId="6" xfId="0" applyNumberFormat="1" applyFill="1" applyBorder="1" applyAlignment="1" applyProtection="1">
      <alignment horizontal="center" vertical="center"/>
      <protection hidden="1"/>
    </xf>
    <xf numFmtId="10" fontId="0" fillId="0" borderId="9" xfId="0" applyNumberFormat="1" applyFill="1" applyBorder="1" applyAlignment="1" applyProtection="1">
      <alignment horizontal="center" vertical="center"/>
      <protection hidden="1"/>
    </xf>
    <xf numFmtId="1" fontId="0" fillId="0" borderId="3" xfId="0" applyNumberFormat="1" applyFill="1" applyBorder="1" applyAlignment="1" applyProtection="1">
      <alignment horizontal="center"/>
      <protection locked="0"/>
    </xf>
    <xf numFmtId="1" fontId="0" fillId="0" borderId="0" xfId="0" applyNumberFormat="1" applyFill="1" applyBorder="1" applyAlignment="1" applyProtection="1">
      <alignment horizontal="center"/>
      <protection locked="0"/>
    </xf>
    <xf numFmtId="1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8" xfId="0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1" fontId="0" fillId="10" borderId="0" xfId="0" applyNumberFormat="1" applyFill="1" applyProtection="1">
      <protection locked="0"/>
    </xf>
    <xf numFmtId="0" fontId="2" fillId="10" borderId="0" xfId="0" applyFont="1" applyFill="1" applyProtection="1">
      <protection locked="0"/>
    </xf>
    <xf numFmtId="2" fontId="0" fillId="0" borderId="5" xfId="0" applyNumberFormat="1" applyBorder="1" applyAlignment="1" applyProtection="1">
      <alignment horizontal="center" vertical="center"/>
      <protection hidden="1"/>
    </xf>
    <xf numFmtId="165" fontId="0" fillId="0" borderId="14" xfId="0" applyNumberFormat="1" applyBorder="1" applyAlignment="1" applyProtection="1">
      <alignment horizontal="center"/>
      <protection locked="0"/>
    </xf>
    <xf numFmtId="9" fontId="2" fillId="10" borderId="0" xfId="1" applyFont="1" applyFill="1" applyBorder="1" applyAlignment="1" applyProtection="1">
      <protection hidden="1"/>
    </xf>
    <xf numFmtId="9" fontId="0" fillId="10" borderId="0" xfId="1" applyFont="1" applyFill="1" applyBorder="1" applyAlignment="1" applyProtection="1">
      <alignment horizontal="justify" vertical="center" wrapText="1"/>
      <protection hidden="1"/>
    </xf>
    <xf numFmtId="9" fontId="2" fillId="10" borderId="0" xfId="1" applyFont="1" applyFill="1" applyBorder="1" applyAlignment="1" applyProtection="1">
      <alignment vertical="center" wrapText="1"/>
      <protection hidden="1"/>
    </xf>
    <xf numFmtId="0" fontId="2" fillId="10" borderId="0" xfId="0" applyFont="1" applyFill="1" applyBorder="1" applyAlignment="1" applyProtection="1">
      <protection hidden="1"/>
    </xf>
    <xf numFmtId="0" fontId="0" fillId="10" borderId="0" xfId="0" applyFill="1" applyBorder="1" applyAlignment="1" applyProtection="1">
      <alignment horizontal="justify" vertical="center" wrapText="1"/>
      <protection hidden="1"/>
    </xf>
    <xf numFmtId="0" fontId="0" fillId="10" borderId="0" xfId="0" applyFill="1" applyBorder="1" applyAlignment="1" applyProtection="1">
      <alignment horizontal="center" vertical="center"/>
      <protection hidden="1"/>
    </xf>
    <xf numFmtId="0" fontId="2" fillId="4" borderId="10" xfId="0" applyFont="1" applyFill="1" applyBorder="1" applyAlignment="1" applyProtection="1">
      <alignment horizontal="center" vertical="center" wrapText="1"/>
      <protection hidden="1"/>
    </xf>
    <xf numFmtId="0" fontId="2" fillId="10" borderId="0" xfId="0" applyFont="1" applyFill="1" applyBorder="1" applyProtection="1">
      <protection locked="0"/>
    </xf>
    <xf numFmtId="0" fontId="13" fillId="10" borderId="0" xfId="0" applyFont="1" applyFill="1" applyBorder="1" applyProtection="1">
      <protection locked="0"/>
    </xf>
    <xf numFmtId="0" fontId="2" fillId="5" borderId="2" xfId="0" applyFont="1" applyFill="1" applyBorder="1" applyAlignment="1" applyProtection="1">
      <alignment horizontal="center"/>
      <protection hidden="1"/>
    </xf>
    <xf numFmtId="0" fontId="2" fillId="5" borderId="3" xfId="0" applyFont="1" applyFill="1" applyBorder="1" applyAlignment="1" applyProtection="1">
      <alignment horizontal="center"/>
      <protection hidden="1"/>
    </xf>
    <xf numFmtId="0" fontId="2" fillId="5" borderId="15" xfId="0" applyFont="1" applyFill="1" applyBorder="1" applyAlignment="1" applyProtection="1">
      <alignment horizontal="center"/>
      <protection hidden="1"/>
    </xf>
    <xf numFmtId="0" fontId="2" fillId="5" borderId="10" xfId="0" applyFont="1" applyFill="1" applyBorder="1" applyAlignment="1" applyProtection="1">
      <alignment horizontal="center"/>
      <protection hidden="1"/>
    </xf>
    <xf numFmtId="0" fontId="2" fillId="7" borderId="2" xfId="0" applyFont="1" applyFill="1" applyBorder="1" applyAlignment="1" applyProtection="1">
      <alignment horizontal="center"/>
      <protection hidden="1"/>
    </xf>
    <xf numFmtId="0" fontId="2" fillId="7" borderId="4" xfId="0" applyFont="1" applyFill="1" applyBorder="1" applyAlignment="1" applyProtection="1">
      <alignment horizontal="center"/>
      <protection hidden="1"/>
    </xf>
    <xf numFmtId="0" fontId="2" fillId="7" borderId="15" xfId="0" applyFont="1" applyFill="1" applyBorder="1" applyAlignment="1" applyProtection="1">
      <alignment horizontal="center"/>
      <protection hidden="1"/>
    </xf>
    <xf numFmtId="0" fontId="2" fillId="7" borderId="11" xfId="0" applyFont="1" applyFill="1" applyBorder="1" applyAlignment="1" applyProtection="1">
      <alignment horizontal="center"/>
      <protection hidden="1"/>
    </xf>
    <xf numFmtId="0" fontId="5" fillId="9" borderId="15" xfId="0" applyFont="1" applyFill="1" applyBorder="1" applyAlignment="1" applyProtection="1">
      <alignment horizontal="center"/>
      <protection hidden="1"/>
    </xf>
    <xf numFmtId="0" fontId="5" fillId="9" borderId="11" xfId="0" applyFont="1" applyFill="1" applyBorder="1" applyAlignment="1" applyProtection="1">
      <alignment horizontal="center"/>
      <protection hidden="1"/>
    </xf>
    <xf numFmtId="1" fontId="6" fillId="2" borderId="15" xfId="0" applyNumberFormat="1" applyFont="1" applyFill="1" applyBorder="1" applyAlignment="1" applyProtection="1">
      <alignment horizontal="center"/>
      <protection locked="0"/>
    </xf>
    <xf numFmtId="1" fontId="6" fillId="2" borderId="11" xfId="0" applyNumberFormat="1" applyFont="1" applyFill="1" applyBorder="1" applyAlignment="1" applyProtection="1">
      <alignment horizontal="center"/>
      <protection locked="0"/>
    </xf>
    <xf numFmtId="0" fontId="0" fillId="9" borderId="7" xfId="0" applyFill="1" applyBorder="1" applyAlignment="1" applyProtection="1">
      <alignment horizontal="center"/>
      <protection hidden="1"/>
    </xf>
    <xf numFmtId="0" fontId="0" fillId="9" borderId="9" xfId="0" applyFill="1" applyBorder="1" applyAlignment="1" applyProtection="1">
      <alignment horizontal="center"/>
      <protection hidden="1"/>
    </xf>
    <xf numFmtId="0" fontId="6" fillId="10" borderId="0" xfId="0" applyFont="1" applyFill="1" applyBorder="1" applyAlignment="1" applyProtection="1">
      <alignment horizontal="left" vertical="center"/>
      <protection locked="0"/>
    </xf>
    <xf numFmtId="0" fontId="14" fillId="10" borderId="0" xfId="0" applyFont="1" applyFill="1" applyAlignment="1" applyProtection="1">
      <alignment horizontal="center" vertical="center"/>
      <protection hidden="1"/>
    </xf>
  </cellXfs>
  <cellStyles count="2">
    <cellStyle name="Normální" xfId="0" builtinId="0"/>
    <cellStyle name="Procenta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cs-CZ"/>
              <a:t>Concentratiopn</a:t>
            </a:r>
            <a:r>
              <a:rPr lang="cs-CZ" baseline="0"/>
              <a:t> profiles (before correction)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94550524833264"/>
          <c:y val="0.1138948979515783"/>
          <c:w val="0.78238016758397633"/>
          <c:h val="0.778063754710565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estimation!$Q$1</c:f>
              <c:strCache>
                <c:ptCount val="1"/>
                <c:pt idx="0">
                  <c:v>cA (mg/L)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estimation!$P$2:$P$1838</c:f>
              <c:numCache>
                <c:formatCode>0.00</c:formatCode>
                <c:ptCount val="1837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</c:numCache>
            </c:numRef>
          </c:xVal>
          <c:yVal>
            <c:numRef>
              <c:f>estimation!$Q$2:$Q$1838</c:f>
              <c:numCache>
                <c:formatCode>0.0</c:formatCode>
                <c:ptCount val="1837"/>
                <c:pt idx="0">
                  <c:v>71</c:v>
                </c:pt>
                <c:pt idx="1">
                  <c:v>70.97699921595941</c:v>
                </c:pt>
                <c:pt idx="2">
                  <c:v>70.953121950081112</c:v>
                </c:pt>
                <c:pt idx="3">
                  <c:v>70.928337150483074</c:v>
                </c:pt>
                <c:pt idx="4">
                  <c:v>70.902612764916427</c:v>
                </c:pt>
                <c:pt idx="5">
                  <c:v>70.875915713040982</c:v>
                </c:pt>
                <c:pt idx="6">
                  <c:v>70.848211858162998</c:v>
                </c:pt>
                <c:pt idx="7">
                  <c:v>70.81946597843914</c:v>
                </c:pt>
                <c:pt idx="8">
                  <c:v>70.789641737551776</c:v>
                </c:pt>
                <c:pt idx="9">
                  <c:v>70.758701654862136</c:v>
                </c:pt>
                <c:pt idx="10">
                  <c:v>70.72660707504933</c:v>
                </c:pt>
                <c:pt idx="11">
                  <c:v>70.693318137244788</c:v>
                </c:pt>
                <c:pt idx="12">
                  <c:v>70.658793743673328</c:v>
                </c:pt>
                <c:pt idx="13">
                  <c:v>70.622991527813909</c:v>
                </c:pt>
                <c:pt idx="14">
                  <c:v>70.585867822095082</c:v>
                </c:pt>
                <c:pt idx="15">
                  <c:v>70.547377625142062</c:v>
                </c:pt>
                <c:pt idx="16">
                  <c:v>70.507474568594731</c:v>
                </c:pt>
                <c:pt idx="17">
                  <c:v>70.466110883518184</c:v>
                </c:pt>
                <c:pt idx="18">
                  <c:v>70.42323736642976</c:v>
                </c:pt>
                <c:pt idx="19">
                  <c:v>70.378803344969455</c:v>
                </c:pt>
                <c:pt idx="20">
                  <c:v>70.332756643243158</c:v>
                </c:pt>
                <c:pt idx="21">
                  <c:v>70.285043546871435</c:v>
                </c:pt>
                <c:pt idx="22">
                  <c:v>70.235608767779496</c:v>
                </c:pt>
                <c:pt idx="23">
                  <c:v>70.184395408767656</c:v>
                </c:pt>
                <c:pt idx="24">
                  <c:v>70.131344927904934</c:v>
                </c:pt>
                <c:pt idx="25">
                  <c:v>70.076397102792484</c:v>
                </c:pt>
                <c:pt idx="26">
                  <c:v>70.019489994747389</c:v>
                </c:pt>
                <c:pt idx="27">
                  <c:v>69.960559912961685</c:v>
                </c:pt>
                <c:pt idx="28">
                  <c:v>69.899541378696</c:v>
                </c:pt>
                <c:pt idx="29">
                  <c:v>69.836367089571894</c:v>
                </c:pt>
                <c:pt idx="30">
                  <c:v>69.770967884032032</c:v>
                </c:pt>
                <c:pt idx="31">
                  <c:v>69.703272706042611</c:v>
                </c:pt>
                <c:pt idx="32">
                  <c:v>69.633208570117816</c:v>
                </c:pt>
                <c:pt idx="33">
                  <c:v>69.560700526752356</c:v>
                </c:pt>
                <c:pt idx="34">
                  <c:v>69.485671628353742</c:v>
                </c:pt>
                <c:pt idx="35">
                  <c:v>69.408042895772738</c:v>
                </c:pt>
                <c:pt idx="36">
                  <c:v>69.327733285537235</c:v>
                </c:pt>
                <c:pt idx="37">
                  <c:v>69.244659657901437</c:v>
                </c:pt>
                <c:pt idx="38">
                  <c:v>69.158736745830282</c:v>
                </c:pt>
                <c:pt idx="39">
                  <c:v>69.069877125046148</c:v>
                </c:pt>
                <c:pt idx="40">
                  <c:v>68.977991185273495</c:v>
                </c:pt>
                <c:pt idx="41">
                  <c:v>68.882987102825126</c:v>
                </c:pt>
                <c:pt idx="42">
                  <c:v>68.785897272803894</c:v>
                </c:pt>
                <c:pt idx="43">
                  <c:v>68.686682295852052</c:v>
                </c:pt>
                <c:pt idx="44">
                  <c:v>68.585302251916957</c:v>
                </c:pt>
                <c:pt idx="45">
                  <c:v>68.481716702434056</c:v>
                </c:pt>
                <c:pt idx="46">
                  <c:v>68.375884693011898</c:v>
                </c:pt>
                <c:pt idx="47">
                  <c:v>68.267764756642464</c:v>
                </c:pt>
                <c:pt idx="48">
                  <c:v>68.157314917460681</c:v>
                </c:pt>
                <c:pt idx="49">
                  <c:v>68.044492695077608</c:v>
                </c:pt>
                <c:pt idx="50">
                  <c:v>67.929255109512539</c:v>
                </c:pt>
                <c:pt idx="51">
                  <c:v>67.81155868674999</c:v>
                </c:pt>
                <c:pt idx="52">
                  <c:v>67.691359464947965</c:v>
                </c:pt>
                <c:pt idx="53">
                  <c:v>67.568613001325019</c:v>
                </c:pt>
                <c:pt idx="54">
                  <c:v>67.443274379753802</c:v>
                </c:pt>
                <c:pt idx="55">
                  <c:v>67.315298219089911</c:v>
                </c:pt>
                <c:pt idx="56">
                  <c:v>67.184638682265145</c:v>
                </c:pt>
                <c:pt idx="57">
                  <c:v>67.051249486175351</c:v>
                </c:pt>
                <c:pt idx="58">
                  <c:v>66.915083912393243</c:v>
                </c:pt>
                <c:pt idx="59">
                  <c:v>66.77609481873759</c:v>
                </c:pt>
                <c:pt idx="60">
                  <c:v>66.634234651730637</c:v>
                </c:pt>
                <c:pt idx="61">
                  <c:v>66.489455459976327</c:v>
                </c:pt>
                <c:pt idx="62">
                  <c:v>66.341708908492322</c:v>
                </c:pt>
                <c:pt idx="63">
                  <c:v>66.190946294029686</c:v>
                </c:pt>
                <c:pt idx="64">
                  <c:v>66.037118561414388</c:v>
                </c:pt>
                <c:pt idx="65">
                  <c:v>65.880176320945452</c:v>
                </c:pt>
                <c:pt idx="66">
                  <c:v>65.720069866885126</c:v>
                </c:pt>
                <c:pt idx="67">
                  <c:v>65.556749197076812</c:v>
                </c:pt>
                <c:pt idx="68">
                  <c:v>65.390164033726961</c:v>
                </c:pt>
                <c:pt idx="69">
                  <c:v>65.220263845387649</c:v>
                </c:pt>
                <c:pt idx="70">
                  <c:v>65.046997870176767</c:v>
                </c:pt>
                <c:pt idx="71">
                  <c:v>64.870315140273149</c:v>
                </c:pt>
                <c:pt idx="72">
                  <c:v>64.690164507724234</c:v>
                </c:pt>
                <c:pt idx="73">
                  <c:v>64.50649467160396</c:v>
                </c:pt>
                <c:pt idx="74">
                  <c:v>64.319254206558895</c:v>
                </c:pt>
                <c:pt idx="75">
                  <c:v>64.128391592780602</c:v>
                </c:pt>
                <c:pt idx="76">
                  <c:v>63.933855247442146</c:v>
                </c:pt>
                <c:pt idx="77">
                  <c:v>63.735593557636861</c:v>
                </c:pt>
                <c:pt idx="78">
                  <c:v>63.533554914857</c:v>
                </c:pt>
                <c:pt idx="79">
                  <c:v>63.327687751049986</c:v>
                </c:pt>
                <c:pt idx="80">
                  <c:v>63.117940576289378</c:v>
                </c:pt>
                <c:pt idx="81">
                  <c:v>62.904262018097469</c:v>
                </c:pt>
                <c:pt idx="82">
                  <c:v>62.688965912374243</c:v>
                </c:pt>
                <c:pt idx="83">
                  <c:v>62.472049723729526</c:v>
                </c:pt>
                <c:pt idx="84">
                  <c:v>62.253511126003438</c:v>
                </c:pt>
                <c:pt idx="85">
                  <c:v>62.033348006824653</c:v>
                </c:pt>
                <c:pt idx="86">
                  <c:v>61.811558472200801</c:v>
                </c:pt>
                <c:pt idx="87">
                  <c:v>61.588140851139762</c:v>
                </c:pt>
                <c:pt idx="88">
                  <c:v>61.363093700300645</c:v>
                </c:pt>
                <c:pt idx="89">
                  <c:v>61.136415808673021</c:v>
                </c:pt>
                <c:pt idx="90">
                  <c:v>60.908106202283101</c:v>
                </c:pt>
                <c:pt idx="91">
                  <c:v>60.678164148925319</c:v>
                </c:pt>
                <c:pt idx="92">
                  <c:v>60.446589162917874</c:v>
                </c:pt>
                <c:pt idx="93">
                  <c:v>60.213381009880599</c:v>
                </c:pt>
                <c:pt idx="94">
                  <c:v>59.978539711533536</c:v>
                </c:pt>
                <c:pt idx="95">
                  <c:v>59.742065550514504</c:v>
                </c:pt>
                <c:pt idx="96">
                  <c:v>59.503959075213892</c:v>
                </c:pt>
                <c:pt idx="97">
                  <c:v>59.264221104624838</c:v>
                </c:pt>
                <c:pt idx="98">
                  <c:v>59.022852733206854</c:v>
                </c:pt>
                <c:pt idx="99">
                  <c:v>58.779855335760992</c:v>
                </c:pt>
                <c:pt idx="100">
                  <c:v>58.535230572314426</c:v>
                </c:pt>
                <c:pt idx="101">
                  <c:v>58.288980393012423</c:v>
                </c:pt>
                <c:pt idx="102">
                  <c:v>58.041107043015415</c:v>
                </c:pt>
                <c:pt idx="103">
                  <c:v>57.791613067399034</c:v>
                </c:pt>
                <c:pt idx="104">
                  <c:v>57.540501316054673</c:v>
                </c:pt>
                <c:pt idx="105">
                  <c:v>57.287774948588243</c:v>
                </c:pt>
                <c:pt idx="106">
                  <c:v>57.033437439214616</c:v>
                </c:pt>
                <c:pt idx="107">
                  <c:v>56.777492581645227</c:v>
                </c:pt>
                <c:pt idx="108">
                  <c:v>56.519944493966179</c:v>
                </c:pt>
                <c:pt idx="109">
                  <c:v>56.260797623504189</c:v>
                </c:pt>
                <c:pt idx="110">
                  <c:v>56.000056751677555</c:v>
                </c:pt>
                <c:pt idx="111">
                  <c:v>55.737726998829309</c:v>
                </c:pt>
                <c:pt idx="112">
                  <c:v>55.473813829039642</c:v>
                </c:pt>
                <c:pt idx="113">
                  <c:v>55.20832305491453</c:v>
                </c:pt>
                <c:pt idx="114">
                  <c:v>54.941260842347567</c:v>
                </c:pt>
                <c:pt idx="115">
                  <c:v>54.672633715251749</c:v>
                </c:pt>
                <c:pt idx="116">
                  <c:v>54.402448560257987</c:v>
                </c:pt>
                <c:pt idx="117">
                  <c:v>54.130712631377065</c:v>
                </c:pt>
                <c:pt idx="118">
                  <c:v>53.857433554621586</c:v>
                </c:pt>
                <c:pt idx="119">
                  <c:v>53.582619332584457</c:v>
                </c:pt>
                <c:pt idx="120">
                  <c:v>101.30627834897032</c:v>
                </c:pt>
                <c:pt idx="121">
                  <c:v>100.77821937307631</c:v>
                </c:pt>
                <c:pt idx="122">
                  <c:v>100.25291290459415</c:v>
                </c:pt>
                <c:pt idx="123">
                  <c:v>99.730344596078965</c:v>
                </c:pt>
                <c:pt idx="124">
                  <c:v>99.210500174871896</c:v>
                </c:pt>
                <c:pt idx="125">
                  <c:v>98.693365442710373</c:v>
                </c:pt>
                <c:pt idx="126">
                  <c:v>98.178926275340245</c:v>
                </c:pt>
                <c:pt idx="127">
                  <c:v>97.667168622130035</c:v>
                </c:pt>
                <c:pt idx="128">
                  <c:v>97.158078505687186</c:v>
                </c:pt>
                <c:pt idx="129">
                  <c:v>96.651642021476292</c:v>
                </c:pt>
                <c:pt idx="130">
                  <c:v>96.14784533743935</c:v>
                </c:pt>
                <c:pt idx="131">
                  <c:v>95.646674693617953</c:v>
                </c:pt>
                <c:pt idx="132">
                  <c:v>95.148116401777472</c:v>
                </c:pt>
                <c:pt idx="133">
                  <c:v>94.652156845033204</c:v>
                </c:pt>
                <c:pt idx="134">
                  <c:v>94.158782477478468</c:v>
                </c:pt>
                <c:pt idx="135">
                  <c:v>93.667979823814605</c:v>
                </c:pt>
                <c:pt idx="136">
                  <c:v>93.179735478982977</c:v>
                </c:pt>
                <c:pt idx="137">
                  <c:v>92.69403610779878</c:v>
                </c:pt>
                <c:pt idx="138">
                  <c:v>92.210868444586879</c:v>
                </c:pt>
                <c:pt idx="139">
                  <c:v>91.73021929281947</c:v>
                </c:pt>
                <c:pt idx="140">
                  <c:v>91.252075524755654</c:v>
                </c:pt>
                <c:pt idx="141">
                  <c:v>90.776424081082865</c:v>
                </c:pt>
                <c:pt idx="142">
                  <c:v>90.303251970560225</c:v>
                </c:pt>
                <c:pt idx="143">
                  <c:v>89.832546269663681</c:v>
                </c:pt>
                <c:pt idx="144">
                  <c:v>89.364294122233062</c:v>
                </c:pt>
                <c:pt idx="145">
                  <c:v>88.898482739120922</c:v>
                </c:pt>
                <c:pt idx="146">
                  <c:v>88.43509939784326</c:v>
                </c:pt>
                <c:pt idx="147">
                  <c:v>87.974131442232007</c:v>
                </c:pt>
                <c:pt idx="148">
                  <c:v>87.515566282089367</c:v>
                </c:pt>
                <c:pt idx="149">
                  <c:v>87.059391392843978</c:v>
                </c:pt>
                <c:pt idx="150">
                  <c:v>86.605594315208776</c:v>
                </c:pt>
                <c:pt idx="151">
                  <c:v>86.154162654840746</c:v>
                </c:pt>
                <c:pt idx="152">
                  <c:v>85.705084082002386</c:v>
                </c:pt>
                <c:pt idx="153">
                  <c:v>85.258346331224942</c:v>
                </c:pt>
                <c:pt idx="154">
                  <c:v>84.813937200973427</c:v>
                </c:pt>
                <c:pt idx="155">
                  <c:v>84.371844553313352</c:v>
                </c:pt>
                <c:pt idx="156">
                  <c:v>83.93205631357921</c:v>
                </c:pt>
                <c:pt idx="157">
                  <c:v>83.494560470044675</c:v>
                </c:pt>
                <c:pt idx="158">
                  <c:v>83.059345073594571</c:v>
                </c:pt>
                <c:pt idx="159">
                  <c:v>82.626398237398462</c:v>
                </c:pt>
                <c:pt idx="160">
                  <c:v>82.19570813658602</c:v>
                </c:pt>
                <c:pt idx="161">
                  <c:v>81.767263007924072</c:v>
                </c:pt>
                <c:pt idx="162">
                  <c:v>81.341051149495271</c:v>
                </c:pt>
                <c:pt idx="163">
                  <c:v>80.917060920378532</c:v>
                </c:pt>
                <c:pt idx="164">
                  <c:v>80.495280740331054</c:v>
                </c:pt>
                <c:pt idx="165">
                  <c:v>80.075699089472081</c:v>
                </c:pt>
                <c:pt idx="166">
                  <c:v>79.658304507968211</c:v>
                </c:pt>
                <c:pt idx="167">
                  <c:v>79.24308559572043</c:v>
                </c:pt>
                <c:pt idx="168">
                  <c:v>78.830031012052743</c:v>
                </c:pt>
                <c:pt idx="169">
                  <c:v>78.419129475402414</c:v>
                </c:pt>
                <c:pt idx="170">
                  <c:v>78.01036976301188</c:v>
                </c:pt>
                <c:pt idx="171">
                  <c:v>77.603740710622176</c:v>
                </c:pt>
                <c:pt idx="172">
                  <c:v>77.199231212168058</c:v>
                </c:pt>
                <c:pt idx="173">
                  <c:v>76.796830219474629</c:v>
                </c:pt>
                <c:pt idx="174">
                  <c:v>76.396526741955611</c:v>
                </c:pt>
                <c:pt idx="175">
                  <c:v>75.998309846313163</c:v>
                </c:pt>
                <c:pt idx="176">
                  <c:v>75.602168656239257</c:v>
                </c:pt>
                <c:pt idx="177">
                  <c:v>75.208092352118612</c:v>
                </c:pt>
                <c:pt idx="178">
                  <c:v>74.816070170733198</c:v>
                </c:pt>
                <c:pt idx="179">
                  <c:v>74.426091404968247</c:v>
                </c:pt>
                <c:pt idx="180">
                  <c:v>74.038145403519849</c:v>
                </c:pt>
                <c:pt idx="181">
                  <c:v>73.652221570603999</c:v>
                </c:pt>
                <c:pt idx="182">
                  <c:v>73.268309365667221</c:v>
                </c:pt>
                <c:pt idx="183">
                  <c:v>72.886398303098687</c:v>
                </c:pt>
                <c:pt idx="184">
                  <c:v>72.506477951943779</c:v>
                </c:pt>
                <c:pt idx="185">
                  <c:v>72.128537935619278</c:v>
                </c:pt>
                <c:pt idx="186">
                  <c:v>71.752567931629869</c:v>
                </c:pt>
                <c:pt idx="187">
                  <c:v>71.378557671286245</c:v>
                </c:pt>
                <c:pt idx="188">
                  <c:v>71.006496939424665</c:v>
                </c:pt>
                <c:pt idx="189">
                  <c:v>70.636375574127911</c:v>
                </c:pt>
                <c:pt idx="190">
                  <c:v>70.268183466447766</c:v>
                </c:pt>
                <c:pt idx="191">
                  <c:v>69.901910560128911</c:v>
                </c:pt>
                <c:pt idx="192">
                  <c:v>69.537546851334241</c:v>
                </c:pt>
                <c:pt idx="193">
                  <c:v>69.175082388371663</c:v>
                </c:pt>
                <c:pt idx="194">
                  <c:v>68.814507271422272</c:v>
                </c:pt>
                <c:pt idx="195">
                  <c:v>68.455811652269986</c:v>
                </c:pt>
                <c:pt idx="196">
                  <c:v>68.098985734032524</c:v>
                </c:pt>
                <c:pt idx="197">
                  <c:v>67.744019770893885</c:v>
                </c:pt>
                <c:pt idx="198">
                  <c:v>67.390904067838107</c:v>
                </c:pt>
                <c:pt idx="199">
                  <c:v>67.039628980384506</c:v>
                </c:pt>
                <c:pt idx="200">
                  <c:v>66.690184914324249</c:v>
                </c:pt>
                <c:pt idx="201">
                  <c:v>66.342562325458331</c:v>
                </c:pt>
                <c:pt idx="202">
                  <c:v>65.996751719336885</c:v>
                </c:pt>
                <c:pt idx="203">
                  <c:v>65.652743650999838</c:v>
                </c:pt>
                <c:pt idx="204">
                  <c:v>65.310528724719006</c:v>
                </c:pt>
                <c:pt idx="205">
                  <c:v>64.970097593741414</c:v>
                </c:pt>
                <c:pt idx="206">
                  <c:v>64.631440960034041</c:v>
                </c:pt>
                <c:pt idx="207">
                  <c:v>64.294549574029858</c:v>
                </c:pt>
                <c:pt idx="208">
                  <c:v>63.959414234375231</c:v>
                </c:pt>
                <c:pt idx="209">
                  <c:v>63.62602578767855</c:v>
                </c:pt>
                <c:pt idx="210">
                  <c:v>63.294375128260278</c:v>
                </c:pt>
                <c:pt idx="211">
                  <c:v>62.96445319790422</c:v>
                </c:pt>
                <c:pt idx="212">
                  <c:v>62.636250985610147</c:v>
                </c:pt>
                <c:pt idx="213">
                  <c:v>62.309759527347651</c:v>
                </c:pt>
                <c:pt idx="214">
                  <c:v>61.984969905811354</c:v>
                </c:pt>
                <c:pt idx="215">
                  <c:v>61.661873250177315</c:v>
                </c:pt>
                <c:pt idx="216">
                  <c:v>61.340460735860766</c:v>
                </c:pt>
                <c:pt idx="217">
                  <c:v>61.020723584275089</c:v>
                </c:pt>
                <c:pt idx="218">
                  <c:v>60.702653062592056</c:v>
                </c:pt>
                <c:pt idx="219">
                  <c:v>60.386240483503293</c:v>
                </c:pt>
                <c:pt idx="220">
                  <c:v>60.071477204983033</c:v>
                </c:pt>
                <c:pt idx="221">
                  <c:v>59.758354630052061</c:v>
                </c:pt>
                <c:pt idx="222">
                  <c:v>59.446864206542912</c:v>
                </c:pt>
                <c:pt idx="223">
                  <c:v>59.136997426866309</c:v>
                </c:pt>
                <c:pt idx="224">
                  <c:v>58.828745827778768</c:v>
                </c:pt>
                <c:pt idx="225">
                  <c:v>58.522100990151472</c:v>
                </c:pt>
                <c:pt idx="226">
                  <c:v>58.217054538740307</c:v>
                </c:pt>
                <c:pt idx="227">
                  <c:v>57.913598141957124</c:v>
                </c:pt>
                <c:pt idx="228">
                  <c:v>57.611723511642175</c:v>
                </c:pt>
                <c:pt idx="229">
                  <c:v>57.311422402837742</c:v>
                </c:pt>
                <c:pt idx="230">
                  <c:v>57.012686613562948</c:v>
                </c:pt>
                <c:pt idx="231">
                  <c:v>56.715507984589749</c:v>
                </c:pt>
                <c:pt idx="232">
                  <c:v>56.419878399220075</c:v>
                </c:pt>
                <c:pt idx="233">
                  <c:v>56.125789783064143</c:v>
                </c:pt>
                <c:pt idx="234">
                  <c:v>55.833234103819919</c:v>
                </c:pt>
                <c:pt idx="235">
                  <c:v>55.542203371053759</c:v>
                </c:pt>
                <c:pt idx="236">
                  <c:v>55.252689635982144</c:v>
                </c:pt>
                <c:pt idx="237">
                  <c:v>54.964684991254586</c:v>
                </c:pt>
                <c:pt idx="238">
                  <c:v>54.678181570737671</c:v>
                </c:pt>
                <c:pt idx="239">
                  <c:v>54.393171549300199</c:v>
                </c:pt>
                <c:pt idx="240">
                  <c:v>102.10964714259947</c:v>
                </c:pt>
                <c:pt idx="241">
                  <c:v>101.57740060686866</c:v>
                </c:pt>
                <c:pt idx="242">
                  <c:v>101.04792840620536</c:v>
                </c:pt>
                <c:pt idx="243">
                  <c:v>100.52121607938801</c:v>
                </c:pt>
                <c:pt idx="244">
                  <c:v>99.997249240574206</c:v>
                </c:pt>
                <c:pt idx="245">
                  <c:v>99.476013578907711</c:v>
                </c:pt>
                <c:pt idx="246">
                  <c:v>98.95749485812766</c:v>
                </c:pt>
                <c:pt idx="247">
                  <c:v>98.441678916179669</c:v>
                </c:pt>
                <c:pt idx="248">
                  <c:v>97.928551664829087</c:v>
                </c:pt>
                <c:pt idx="249">
                  <c:v>97.418099089276168</c:v>
                </c:pt>
                <c:pt idx="250">
                  <c:v>96.910307247773318</c:v>
                </c:pt>
                <c:pt idx="251">
                  <c:v>96.405162271244293</c:v>
                </c:pt>
                <c:pt idx="252">
                  <c:v>95.902650362905433</c:v>
                </c:pt>
                <c:pt idx="253">
                  <c:v>95.402757797888782</c:v>
                </c:pt>
                <c:pt idx="254">
                  <c:v>94.905470922867281</c:v>
                </c:pt>
                <c:pt idx="255">
                  <c:v>94.41077615568183</c:v>
                </c:pt>
                <c:pt idx="256">
                  <c:v>93.918659984970333</c:v>
                </c:pt>
                <c:pt idx="257">
                  <c:v>93.429108969798676</c:v>
                </c:pt>
                <c:pt idx="258">
                  <c:v>92.942109739293599</c:v>
                </c:pt>
                <c:pt idx="259">
                  <c:v>92.457648992277527</c:v>
                </c:pt>
                <c:pt idx="260">
                  <c:v>91.975713496905286</c:v>
                </c:pt>
                <c:pt idx="261">
                  <c:v>91.496290090302665</c:v>
                </c:pt>
                <c:pt idx="262">
                  <c:v>91.019365678206967</c:v>
                </c:pt>
                <c:pt idx="263">
                  <c:v>90.544927234609318</c:v>
                </c:pt>
                <c:pt idx="264">
                  <c:v>90.072961801398918</c:v>
                </c:pt>
                <c:pt idx="265">
                  <c:v>89.60345648800913</c:v>
                </c:pt>
                <c:pt idx="266">
                  <c:v>89.136398471065377</c:v>
                </c:pt>
                <c:pt idx="267">
                  <c:v>88.671774994034948</c:v>
                </c:pt>
                <c:pt idx="268">
                  <c:v>88.209573366878544</c:v>
                </c:pt>
                <c:pt idx="269">
                  <c:v>87.749780965703692</c:v>
                </c:pt>
                <c:pt idx="270">
                  <c:v>87.29238523241996</c:v>
                </c:pt>
                <c:pt idx="271">
                  <c:v>86.837373674395977</c:v>
                </c:pt>
                <c:pt idx="272">
                  <c:v>86.384733864118189</c:v>
                </c:pt>
                <c:pt idx="273">
                  <c:v>85.934453438851477</c:v>
                </c:pt>
                <c:pt idx="274">
                  <c:v>85.486520100301462</c:v>
                </c:pt>
                <c:pt idx="275">
                  <c:v>85.040921614278645</c:v>
                </c:pt>
                <c:pt idx="276">
                  <c:v>84.597645810364213</c:v>
                </c:pt>
                <c:pt idx="277">
                  <c:v>84.156680581577689</c:v>
                </c:pt>
                <c:pt idx="278">
                  <c:v>83.718013884046215</c:v>
                </c:pt>
                <c:pt idx="279">
                  <c:v>83.28163373667563</c:v>
                </c:pt>
                <c:pt idx="280">
                  <c:v>82.847528220823207</c:v>
                </c:pt>
                <c:pt idx="281">
                  <c:v>82.415685479972169</c:v>
                </c:pt>
                <c:pt idx="282">
                  <c:v>81.986093719407819</c:v>
                </c:pt>
                <c:pt idx="283">
                  <c:v>81.558741205895402</c:v>
                </c:pt>
                <c:pt idx="284">
                  <c:v>81.13361626735967</c:v>
                </c:pt>
                <c:pt idx="285">
                  <c:v>80.710707292566056</c:v>
                </c:pt>
                <c:pt idx="286">
                  <c:v>80.29000273080355</c:v>
                </c:pt>
                <c:pt idx="287">
                  <c:v>79.87149109156924</c:v>
                </c:pt>
                <c:pt idx="288">
                  <c:v>79.45516094425443</c:v>
                </c:pt>
                <c:pt idx="289">
                  <c:v>79.041000917832505</c:v>
                </c:pt>
                <c:pt idx="290">
                  <c:v>78.628999700548306</c:v>
                </c:pt>
                <c:pt idx="291">
                  <c:v>78.2191460396092</c:v>
                </c:pt>
                <c:pt idx="292">
                  <c:v>77.81142874087773</c:v>
                </c:pt>
                <c:pt idx="293">
                  <c:v>77.405836668565911</c:v>
                </c:pt>
                <c:pt idx="294">
                  <c:v>77.002358744931016</c:v>
                </c:pt>
                <c:pt idx="295">
                  <c:v>76.600983949973056</c:v>
                </c:pt>
                <c:pt idx="296">
                  <c:v>76.201701321133825</c:v>
                </c:pt>
                <c:pt idx="297">
                  <c:v>75.804499952997418</c:v>
                </c:pt>
                <c:pt idx="298">
                  <c:v>75.409368996992413</c:v>
                </c:pt>
                <c:pt idx="299">
                  <c:v>75.016297661095592</c:v>
                </c:pt>
                <c:pt idx="300">
                  <c:v>74.625275209537136</c:v>
                </c:pt>
                <c:pt idx="301">
                  <c:v>74.236290962507425</c:v>
                </c:pt>
                <c:pt idx="302">
                  <c:v>73.849334295865361</c:v>
                </c:pt>
                <c:pt idx="303">
                  <c:v>73.46439464084817</c:v>
                </c:pt>
                <c:pt idx="304">
                  <c:v>73.081461483782746</c:v>
                </c:pt>
                <c:pt idx="305">
                  <c:v>72.700524365798529</c:v>
                </c:pt>
                <c:pt idx="306">
                  <c:v>72.321572882541801</c:v>
                </c:pt>
                <c:pt idx="307">
                  <c:v>71.944596683891547</c:v>
                </c:pt>
                <c:pt idx="308">
                  <c:v>71.569585473676767</c:v>
                </c:pt>
                <c:pt idx="309">
                  <c:v>71.196529009395221</c:v>
                </c:pt>
                <c:pt idx="310">
                  <c:v>70.825417101933752</c:v>
                </c:pt>
                <c:pt idx="311">
                  <c:v>70.456239615289917</c:v>
                </c:pt>
                <c:pt idx="312">
                  <c:v>70.088986466295225</c:v>
                </c:pt>
                <c:pt idx="313">
                  <c:v>69.723647624339662</c:v>
                </c:pt>
                <c:pt idx="314">
                  <c:v>69.360213111097792</c:v>
                </c:pt>
                <c:pt idx="315">
                  <c:v>68.99867300025619</c:v>
                </c:pt>
                <c:pt idx="316">
                  <c:v>68.639017417242357</c:v>
                </c:pt>
                <c:pt idx="317">
                  <c:v>68.281236538954985</c:v>
                </c:pt>
                <c:pt idx="318">
                  <c:v>67.925320593495684</c:v>
                </c:pt>
                <c:pt idx="319">
                  <c:v>67.571259859902085</c:v>
                </c:pt>
                <c:pt idx="320">
                  <c:v>67.219044667882343</c:v>
                </c:pt>
                <c:pt idx="321">
                  <c:v>66.868665397551013</c:v>
                </c:pt>
                <c:pt idx="322">
                  <c:v>66.520112479166272</c:v>
                </c:pt>
                <c:pt idx="323">
                  <c:v>66.173376392868619</c:v>
                </c:pt>
                <c:pt idx="324">
                  <c:v>65.828447668420793</c:v>
                </c:pt>
                <c:pt idx="325">
                  <c:v>65.485316884949157</c:v>
                </c:pt>
                <c:pt idx="326">
                  <c:v>65.143974670686362</c:v>
                </c:pt>
                <c:pt idx="327">
                  <c:v>64.804411702715413</c:v>
                </c:pt>
                <c:pt idx="328">
                  <c:v>64.46661870671501</c:v>
                </c:pt>
                <c:pt idx="329">
                  <c:v>64.130586456706254</c:v>
                </c:pt>
                <c:pt idx="330">
                  <c:v>63.796305774800672</c:v>
                </c:pt>
                <c:pt idx="331">
                  <c:v>63.463767530949525</c:v>
                </c:pt>
                <c:pt idx="332">
                  <c:v>63.132962642694451</c:v>
                </c:pt>
                <c:pt idx="333">
                  <c:v>62.803882074919407</c:v>
                </c:pt>
                <c:pt idx="334">
                  <c:v>62.476516839603889</c:v>
                </c:pt>
                <c:pt idx="335">
                  <c:v>62.150857995577454</c:v>
                </c:pt>
                <c:pt idx="336">
                  <c:v>61.826896648275508</c:v>
                </c:pt>
                <c:pt idx="337">
                  <c:v>61.50462394949637</c:v>
                </c:pt>
                <c:pt idx="338">
                  <c:v>61.184031097159618</c:v>
                </c:pt>
                <c:pt idx="339">
                  <c:v>60.865109335065675</c:v>
                </c:pt>
                <c:pt idx="340">
                  <c:v>108.54784995265665</c:v>
                </c:pt>
                <c:pt idx="341">
                  <c:v>107.98204428477842</c:v>
                </c:pt>
                <c:pt idx="342">
                  <c:v>107.41918787894402</c:v>
                </c:pt>
                <c:pt idx="343">
                  <c:v>106.85926536212502</c:v>
                </c:pt>
                <c:pt idx="344">
                  <c:v>106.30226144142493</c:v>
                </c:pt>
                <c:pt idx="345">
                  <c:v>105.7481609036615</c:v>
                </c:pt>
                <c:pt idx="346">
                  <c:v>105.19694861495117</c:v>
                </c:pt>
                <c:pt idx="347">
                  <c:v>104.64860952029574</c:v>
                </c:pt>
                <c:pt idx="348">
                  <c:v>104.10312864317119</c:v>
                </c:pt>
                <c:pt idx="349">
                  <c:v>103.56049108511866</c:v>
                </c:pt>
                <c:pt idx="350">
                  <c:v>103.02068202533748</c:v>
                </c:pt>
                <c:pt idx="351">
                  <c:v>102.4836867202804</c:v>
                </c:pt>
                <c:pt idx="352">
                  <c:v>101.94949050325094</c:v>
                </c:pt>
                <c:pt idx="353">
                  <c:v>101.41807878400274</c:v>
                </c:pt>
                <c:pt idx="354">
                  <c:v>100.88943704834114</c:v>
                </c:pt>
                <c:pt idx="355">
                  <c:v>100.36355085772666</c:v>
                </c:pt>
                <c:pt idx="356">
                  <c:v>99.840405848880764</c:v>
                </c:pt>
                <c:pt idx="357">
                  <c:v>99.319987733393475</c:v>
                </c:pt>
                <c:pt idx="358">
                  <c:v>98.802282297333164</c:v>
                </c:pt>
                <c:pt idx="359">
                  <c:v>98.28727540085832</c:v>
                </c:pt>
                <c:pt idx="360">
                  <c:v>97.774952977831347</c:v>
                </c:pt>
                <c:pt idx="361">
                  <c:v>97.265301035434405</c:v>
                </c:pt>
                <c:pt idx="362">
                  <c:v>96.774256850438775</c:v>
                </c:pt>
                <c:pt idx="363">
                  <c:v>96.301093508425893</c:v>
                </c:pt>
                <c:pt idx="364">
                  <c:v>95.845116413368643</c:v>
                </c:pt>
                <c:pt idx="365">
                  <c:v>95.405661594543744</c:v>
                </c:pt>
                <c:pt idx="366">
                  <c:v>94.982094116632865</c:v>
                </c:pt>
                <c:pt idx="367">
                  <c:v>94.573806585935614</c:v>
                </c:pt>
                <c:pt idx="368">
                  <c:v>94.180217746150731</c:v>
                </c:pt>
                <c:pt idx="369">
                  <c:v>93.800771157671505</c:v>
                </c:pt>
                <c:pt idx="370">
                  <c:v>93.434933954791163</c:v>
                </c:pt>
                <c:pt idx="371">
                  <c:v>93.08219567562746</c:v>
                </c:pt>
                <c:pt idx="372">
                  <c:v>92.742067159956221</c:v>
                </c:pt>
                <c:pt idx="373">
                  <c:v>92.414079510493423</c:v>
                </c:pt>
                <c:pt idx="374">
                  <c:v>92.097783113488049</c:v>
                </c:pt>
                <c:pt idx="375">
                  <c:v>91.792746714785039</c:v>
                </c:pt>
                <c:pt idx="376">
                  <c:v>91.498556547791367</c:v>
                </c:pt>
                <c:pt idx="377">
                  <c:v>91.214815510031315</c:v>
                </c:pt>
                <c:pt idx="378">
                  <c:v>90.941142385210142</c:v>
                </c:pt>
                <c:pt idx="379">
                  <c:v>90.677171107920586</c:v>
                </c:pt>
                <c:pt idx="380">
                  <c:v>90.422550068326188</c:v>
                </c:pt>
                <c:pt idx="381">
                  <c:v>90.176941454339058</c:v>
                </c:pt>
                <c:pt idx="382">
                  <c:v>89.94002062898015</c:v>
                </c:pt>
                <c:pt idx="383">
                  <c:v>89.711475540767694</c:v>
                </c:pt>
                <c:pt idx="384">
                  <c:v>89.49100616512537</c:v>
                </c:pt>
                <c:pt idx="385">
                  <c:v>89.278323974936953</c:v>
                </c:pt>
                <c:pt idx="386">
                  <c:v>89.073151438499437</c:v>
                </c:pt>
                <c:pt idx="387">
                  <c:v>88.875221543243001</c:v>
                </c:pt>
                <c:pt idx="388">
                  <c:v>88.68427734369385</c:v>
                </c:pt>
                <c:pt idx="389">
                  <c:v>88.500071532256101</c:v>
                </c:pt>
                <c:pt idx="390">
                  <c:v>88.322366031481906</c:v>
                </c:pt>
                <c:pt idx="391">
                  <c:v>88.150931606585189</c:v>
                </c:pt>
                <c:pt idx="392">
                  <c:v>87.985547497034887</c:v>
                </c:pt>
                <c:pt idx="393">
                  <c:v>87.826001066138005</c:v>
                </c:pt>
                <c:pt idx="394">
                  <c:v>87.672087467592405</c:v>
                </c:pt>
                <c:pt idx="395">
                  <c:v>87.52360932805378</c:v>
                </c:pt>
                <c:pt idx="396">
                  <c:v>87.380376444821607</c:v>
                </c:pt>
                <c:pt idx="397">
                  <c:v>87.242205497804719</c:v>
                </c:pt>
                <c:pt idx="398">
                  <c:v>87.108919774979626</c:v>
                </c:pt>
                <c:pt idx="399">
                  <c:v>86.980348910603212</c:v>
                </c:pt>
                <c:pt idx="400">
                  <c:v>228.85632863548713</c:v>
                </c:pt>
                <c:pt idx="401">
                  <c:v>228.54112250754821</c:v>
                </c:pt>
                <c:pt idx="402">
                  <c:v>228.22996820754435</c:v>
                </c:pt>
                <c:pt idx="403">
                  <c:v>227.92281126248852</c:v>
                </c:pt>
                <c:pt idx="404">
                  <c:v>227.61959801555363</c:v>
                </c:pt>
                <c:pt idx="405">
                  <c:v>227.32027561172831</c:v>
                </c:pt>
                <c:pt idx="406">
                  <c:v>227.0247919837696</c:v>
                </c:pt>
                <c:pt idx="407">
                  <c:v>226.73309583844505</c:v>
                </c:pt>
                <c:pt idx="408">
                  <c:v>226.44513664305774</c:v>
                </c:pt>
                <c:pt idx="409">
                  <c:v>226.16086461224739</c:v>
                </c:pt>
                <c:pt idx="410">
                  <c:v>225.8802306950613</c:v>
                </c:pt>
                <c:pt idx="411">
                  <c:v>225.60318656228861</c:v>
                </c:pt>
                <c:pt idx="412">
                  <c:v>225.329684594052</c:v>
                </c:pt>
                <c:pt idx="413">
                  <c:v>225.05967786765058</c:v>
                </c:pt>
                <c:pt idx="414">
                  <c:v>224.79312014564857</c:v>
                </c:pt>
                <c:pt idx="415">
                  <c:v>224.52996586420349</c:v>
                </c:pt>
                <c:pt idx="416">
                  <c:v>224.27017012162904</c:v>
                </c:pt>
                <c:pt idx="417">
                  <c:v>224.0136886671867</c:v>
                </c:pt>
                <c:pt idx="418">
                  <c:v>223.76047789010116</c:v>
                </c:pt>
                <c:pt idx="419">
                  <c:v>223.51049480879436</c:v>
                </c:pt>
                <c:pt idx="420">
                  <c:v>223.26369706033316</c:v>
                </c:pt>
                <c:pt idx="421">
                  <c:v>223.0200428900857</c:v>
                </c:pt>
                <c:pt idx="422">
                  <c:v>222.77949114158196</c:v>
                </c:pt>
                <c:pt idx="423">
                  <c:v>222.54200124657351</c:v>
                </c:pt>
                <c:pt idx="424">
                  <c:v>222.30753321528849</c:v>
                </c:pt>
                <c:pt idx="425">
                  <c:v>222.07604762687689</c:v>
                </c:pt>
                <c:pt idx="426">
                  <c:v>221.84750562004217</c:v>
                </c:pt>
                <c:pt idx="427">
                  <c:v>221.62186888385503</c:v>
                </c:pt>
                <c:pt idx="428">
                  <c:v>221.39909964874511</c:v>
                </c:pt>
                <c:pt idx="429">
                  <c:v>221.17916067766683</c:v>
                </c:pt>
                <c:pt idx="430">
                  <c:v>220.96201525743541</c:v>
                </c:pt>
                <c:pt idx="431">
                  <c:v>220.74762719022934</c:v>
                </c:pt>
                <c:pt idx="432">
                  <c:v>220.5359607852555</c:v>
                </c:pt>
                <c:pt idx="433">
                  <c:v>220.32698085057348</c:v>
                </c:pt>
                <c:pt idx="434">
                  <c:v>220.12065268507567</c:v>
                </c:pt>
                <c:pt idx="435">
                  <c:v>219.9169420706194</c:v>
                </c:pt>
                <c:pt idx="436">
                  <c:v>219.71581526430813</c:v>
                </c:pt>
                <c:pt idx="437">
                  <c:v>219.5172389909182</c:v>
                </c:pt>
                <c:pt idx="438">
                  <c:v>219.32118043546811</c:v>
                </c:pt>
                <c:pt idx="439">
                  <c:v>219.12760723592723</c:v>
                </c:pt>
                <c:pt idx="440">
                  <c:v>218.93648747606082</c:v>
                </c:pt>
                <c:pt idx="441">
                  <c:v>218.74778967840845</c:v>
                </c:pt>
                <c:pt idx="442">
                  <c:v>218.56148279739304</c:v>
                </c:pt>
                <c:pt idx="443">
                  <c:v>218.37753621255757</c:v>
                </c:pt>
                <c:pt idx="444">
                  <c:v>218.19591972192683</c:v>
                </c:pt>
                <c:pt idx="445">
                  <c:v>218.01660353549144</c:v>
                </c:pt>
                <c:pt idx="446">
                  <c:v>217.83955826881171</c:v>
                </c:pt>
                <c:pt idx="447">
                  <c:v>217.66475493673846</c:v>
                </c:pt>
                <c:pt idx="448">
                  <c:v>217.49216494724871</c:v>
                </c:pt>
                <c:pt idx="449">
                  <c:v>217.32176009539344</c:v>
                </c:pt>
                <c:pt idx="450">
                  <c:v>217.15351255735544</c:v>
                </c:pt>
                <c:pt idx="451">
                  <c:v>216.98739488461447</c:v>
                </c:pt>
                <c:pt idx="452">
                  <c:v>216.82337999821794</c:v>
                </c:pt>
                <c:pt idx="453">
                  <c:v>216.66144118315447</c:v>
                </c:pt>
                <c:pt idx="454">
                  <c:v>216.50155208282857</c:v>
                </c:pt>
                <c:pt idx="455">
                  <c:v>216.34368669363406</c:v>
                </c:pt>
                <c:pt idx="456">
                  <c:v>216.18781935962423</c:v>
                </c:pt>
                <c:pt idx="457">
                  <c:v>216.03392476727683</c:v>
                </c:pt>
                <c:pt idx="458">
                  <c:v>215.88197794035179</c:v>
                </c:pt>
                <c:pt idx="459">
                  <c:v>215.73195423483992</c:v>
                </c:pt>
                <c:pt idx="460">
                  <c:v>215.58382933400051</c:v>
                </c:pt>
                <c:pt idx="461">
                  <c:v>215.43757924348614</c:v>
                </c:pt>
                <c:pt idx="462">
                  <c:v>215.29318028655297</c:v>
                </c:pt>
                <c:pt idx="463">
                  <c:v>215.15060909935454</c:v>
                </c:pt>
                <c:pt idx="464">
                  <c:v>215.00984262631763</c:v>
                </c:pt>
                <c:pt idx="465">
                  <c:v>214.87085811559837</c:v>
                </c:pt>
                <c:pt idx="466">
                  <c:v>214.73363311461685</c:v>
                </c:pt>
                <c:pt idx="467">
                  <c:v>214.59814546566912</c:v>
                </c:pt>
                <c:pt idx="468">
                  <c:v>214.4643733016143</c:v>
                </c:pt>
                <c:pt idx="469">
                  <c:v>214.33229504163597</c:v>
                </c:pt>
                <c:pt idx="470">
                  <c:v>214.20188938707588</c:v>
                </c:pt>
                <c:pt idx="471">
                  <c:v>214.0731353173388</c:v>
                </c:pt>
                <c:pt idx="472">
                  <c:v>213.9460120858669</c:v>
                </c:pt>
                <c:pt idx="473">
                  <c:v>213.8204992161825</c:v>
                </c:pt>
                <c:pt idx="474">
                  <c:v>213.69657649799763</c:v>
                </c:pt>
                <c:pt idx="475">
                  <c:v>213.57422398338903</c:v>
                </c:pt>
                <c:pt idx="476">
                  <c:v>213.45342198303766</c:v>
                </c:pt>
                <c:pt idx="477">
                  <c:v>213.33415106253096</c:v>
                </c:pt>
                <c:pt idx="478">
                  <c:v>213.21639203872709</c:v>
                </c:pt>
                <c:pt idx="479">
                  <c:v>213.10012597617944</c:v>
                </c:pt>
                <c:pt idx="480">
                  <c:v>212.98533418362075</c:v>
                </c:pt>
                <c:pt idx="481">
                  <c:v>212.87199821050532</c:v>
                </c:pt>
                <c:pt idx="482">
                  <c:v>212.76280728249014</c:v>
                </c:pt>
                <c:pt idx="483">
                  <c:v>212.65761612361547</c:v>
                </c:pt>
                <c:pt idx="484">
                  <c:v>212.55628439990932</c:v>
                </c:pt>
                <c:pt idx="485">
                  <c:v>212.45867655095623</c:v>
                </c:pt>
                <c:pt idx="486">
                  <c:v>212.36466162757623</c:v>
                </c:pt>
                <c:pt idx="487">
                  <c:v>212.27411313535984</c:v>
                </c:pt>
                <c:pt idx="488">
                  <c:v>212.18690888381732</c:v>
                </c:pt>
                <c:pt idx="489">
                  <c:v>212.10293084091205</c:v>
                </c:pt>
                <c:pt idx="490">
                  <c:v>212.02206499275945</c:v>
                </c:pt>
                <c:pt idx="491">
                  <c:v>211.94420120828323</c:v>
                </c:pt>
                <c:pt idx="492">
                  <c:v>211.86923310863057</c:v>
                </c:pt>
                <c:pt idx="493">
                  <c:v>211.79705794115768</c:v>
                </c:pt>
                <c:pt idx="494">
                  <c:v>211.7275764578055</c:v>
                </c:pt>
                <c:pt idx="495">
                  <c:v>211.66069279769442</c:v>
                </c:pt>
                <c:pt idx="496">
                  <c:v>211.59631437377408</c:v>
                </c:pt>
                <c:pt idx="497">
                  <c:v>211.53435176337257</c:v>
                </c:pt>
                <c:pt idx="498">
                  <c:v>211.47471860249587</c:v>
                </c:pt>
                <c:pt idx="499">
                  <c:v>211.41733148373561</c:v>
                </c:pt>
                <c:pt idx="500">
                  <c:v>211.3621098576491</c:v>
                </c:pt>
                <c:pt idx="501">
                  <c:v>211.3089759374821</c:v>
                </c:pt>
                <c:pt idx="502">
                  <c:v>211.2578546071102</c:v>
                </c:pt>
                <c:pt idx="503">
                  <c:v>211.20867333208025</c:v>
                </c:pt>
                <c:pt idx="504">
                  <c:v>211.16136207363843</c:v>
                </c:pt>
                <c:pt idx="505">
                  <c:v>211.11585320563628</c:v>
                </c:pt>
                <c:pt idx="506">
                  <c:v>211.07208143421093</c:v>
                </c:pt>
                <c:pt idx="507">
                  <c:v>211.02998372013971</c:v>
                </c:pt>
                <c:pt idx="508">
                  <c:v>210.9894992037741</c:v>
                </c:pt>
                <c:pt idx="509">
                  <c:v>210.95056913246131</c:v>
                </c:pt>
                <c:pt idx="510">
                  <c:v>210.913136790366</c:v>
                </c:pt>
                <c:pt idx="511">
                  <c:v>210.87714743060801</c:v>
                </c:pt>
                <c:pt idx="512">
                  <c:v>210.84254820963545</c:v>
                </c:pt>
                <c:pt idx="513">
                  <c:v>210.80928812375575</c:v>
                </c:pt>
                <c:pt idx="514">
                  <c:v>210.77731794775022</c:v>
                </c:pt>
                <c:pt idx="515">
                  <c:v>210.74659017550081</c:v>
                </c:pt>
                <c:pt idx="516">
                  <c:v>210.71705896256043</c:v>
                </c:pt>
                <c:pt idx="517">
                  <c:v>210.6886800706007</c:v>
                </c:pt>
                <c:pt idx="518">
                  <c:v>210.66141081367402</c:v>
                </c:pt>
                <c:pt idx="519">
                  <c:v>210.63521000622865</c:v>
                </c:pt>
                <c:pt idx="520">
                  <c:v>210.61003791281817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F2-4F68-94AB-D573D348D572}"/>
            </c:ext>
          </c:extLst>
        </c:ser>
        <c:ser>
          <c:idx val="1"/>
          <c:order val="1"/>
          <c:tx>
            <c:strRef>
              <c:f>estimation!$R$1</c:f>
              <c:strCache>
                <c:ptCount val="1"/>
                <c:pt idx="0">
                  <c:v>cB (mg/L)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estimation!$P$2:$P$1838</c:f>
              <c:numCache>
                <c:formatCode>0.00</c:formatCode>
                <c:ptCount val="1837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</c:numCache>
            </c:numRef>
          </c:xVal>
          <c:yVal>
            <c:numRef>
              <c:f>estimation!$R$2:$R$1838</c:f>
              <c:numCache>
                <c:formatCode>0.0</c:formatCode>
                <c:ptCount val="1837"/>
                <c:pt idx="0">
                  <c:v>0</c:v>
                </c:pt>
                <c:pt idx="1">
                  <c:v>2.3000784040584289E-2</c:v>
                </c:pt>
                <c:pt idx="2">
                  <c:v>4.6875332722852769E-2</c:v>
                </c:pt>
                <c:pt idx="3">
                  <c:v>7.1654361525493121E-2</c:v>
                </c:pt>
                <c:pt idx="4">
                  <c:v>9.7369555136835775E-2</c:v>
                </c:pt>
                <c:pt idx="5">
                  <c:v>0.12405359263108451</c:v>
                </c:pt>
                <c:pt idx="6">
                  <c:v>0.15174017298946918</c:v>
                </c:pt>
                <c:pt idx="7">
                  <c:v>0.18046404094873628</c:v>
                </c:pt>
                <c:pt idx="8">
                  <c:v>0.21026101315722506</c:v>
                </c:pt>
                <c:pt idx="9">
                  <c:v>0.24116800461645171</c:v>
                </c:pt>
                <c:pt idx="10">
                  <c:v>0.27322305538364611</c:v>
                </c:pt>
                <c:pt idx="11">
                  <c:v>0.30646535750802856</c:v>
                </c:pt>
                <c:pt idx="12">
                  <c:v>0.3409352821707905</c:v>
                </c:pt>
                <c:pt idx="13">
                  <c:v>0.37667440699572169</c:v>
                </c:pt>
                <c:pt idx="14">
                  <c:v>0.41372554349421509</c:v>
                </c:pt>
                <c:pt idx="15">
                  <c:v>0.45213276460495905</c:v>
                </c:pt>
                <c:pt idx="16">
                  <c:v>0.49194143228498405</c:v>
                </c:pt>
                <c:pt idx="17">
                  <c:v>0.53319822510486747</c:v>
                </c:pt>
                <c:pt idx="18">
                  <c:v>0.57595116579678918</c:v>
                </c:pt>
                <c:pt idx="19">
                  <c:v>0.62024964869976984</c:v>
                </c:pt>
                <c:pt idx="20">
                  <c:v>0.66614446704180696</c:v>
                </c:pt>
                <c:pt idx="21">
                  <c:v>0.71368783999371588</c:v>
                </c:pt>
                <c:pt idx="22">
                  <c:v>0.76293343942430725</c:v>
                </c:pt>
                <c:pt idx="23">
                  <c:v>0.8139364162810373</c:v>
                </c:pt>
                <c:pt idx="24">
                  <c:v>0.86675342651447262</c:v>
                </c:pt>
                <c:pt idx="25">
                  <c:v>0.92144265645878121</c:v>
                </c:pt>
                <c:pt idx="26">
                  <c:v>0.97806384757399611</c:v>
                </c:pt>
                <c:pt idx="27">
                  <c:v>1.0366783204489793</c:v>
                </c:pt>
                <c:pt idx="28">
                  <c:v>1.0973489979568247</c:v>
                </c:pt>
                <c:pt idx="29">
                  <c:v>1.1601404274468741</c:v>
                </c:pt>
                <c:pt idx="30">
                  <c:v>1.2251188018495582</c:v>
                </c:pt>
                <c:pt idx="31">
                  <c:v>1.2923519795619141</c:v>
                </c:pt>
                <c:pt idx="32">
                  <c:v>1.3619095029728299</c:v>
                </c:pt>
                <c:pt idx="33">
                  <c:v>1.4338626154778691</c:v>
                </c:pt>
                <c:pt idx="34">
                  <c:v>1.5082842768238425</c:v>
                </c:pt>
                <c:pt idx="35">
                  <c:v>1.5852491766131958</c:v>
                </c:pt>
                <c:pt idx="36">
                  <c:v>1.6648337457876738</c:v>
                </c:pt>
                <c:pt idx="37">
                  <c:v>1.7471161658996803</c:v>
                </c:pt>
                <c:pt idx="38">
                  <c:v>1.8321763759681824</c:v>
                </c:pt>
                <c:pt idx="39">
                  <c:v>1.9200960767039803</c:v>
                </c:pt>
                <c:pt idx="40">
                  <c:v>2.0109587318766073</c:v>
                </c:pt>
                <c:pt idx="41">
                  <c:v>2.1048495665820801</c:v>
                </c:pt>
                <c:pt idx="42">
                  <c:v>2.200744306494856</c:v>
                </c:pt>
                <c:pt idx="43">
                  <c:v>2.2986777652465658</c:v>
                </c:pt>
                <c:pt idx="44">
                  <c:v>2.3986850524005114</c:v>
                </c:pt>
                <c:pt idx="45">
                  <c:v>2.5008015613322896</c:v>
                </c:pt>
                <c:pt idx="46">
                  <c:v>2.6050629562169836</c:v>
                </c:pt>
                <c:pt idx="47">
                  <c:v>2.7115051580869061</c:v>
                </c:pt>
                <c:pt idx="48">
                  <c:v>2.8201643299229557</c:v>
                </c:pt>
                <c:pt idx="49">
                  <c:v>2.9310768607417179</c:v>
                </c:pt>
                <c:pt idx="50">
                  <c:v>3.0442793486395217</c:v>
                </c:pt>
                <c:pt idx="51">
                  <c:v>3.1598085827537563</c:v>
                </c:pt>
                <c:pt idx="52">
                  <c:v>3.2777015241008374</c:v>
                </c:pt>
                <c:pt idx="53">
                  <c:v>3.3979952852493285</c:v>
                </c:pt>
                <c:pt idx="54">
                  <c:v>3.5207271087858452</c:v>
                </c:pt>
                <c:pt idx="55">
                  <c:v>3.6459343445305032</c:v>
                </c:pt>
                <c:pt idx="56">
                  <c:v>3.773654425457845</c:v>
                </c:pt>
                <c:pt idx="57">
                  <c:v>3.9039248422783599</c:v>
                </c:pt>
                <c:pt idx="58">
                  <c:v>4.0367831166349371</c:v>
                </c:pt>
                <c:pt idx="59">
                  <c:v>4.1722667728678333</c:v>
                </c:pt>
                <c:pt idx="60">
                  <c:v>4.3104133083010359</c:v>
                </c:pt>
                <c:pt idx="61">
                  <c:v>4.4512601620022316</c:v>
                </c:pt>
                <c:pt idx="62">
                  <c:v>4.5948446819679676</c:v>
                </c:pt>
                <c:pt idx="63">
                  <c:v>4.7412040906850308</c:v>
                </c:pt>
                <c:pt idx="64">
                  <c:v>4.8903754490185669</c:v>
                </c:pt>
                <c:pt idx="65">
                  <c:v>5.0423956183770047</c:v>
                </c:pt>
                <c:pt idx="66">
                  <c:v>5.1973012211035021</c:v>
                </c:pt>
                <c:pt idx="67">
                  <c:v>5.3551285990433231</c:v>
                </c:pt>
                <c:pt idx="68">
                  <c:v>5.5159137702363461</c:v>
                </c:pt>
                <c:pt idx="69">
                  <c:v>5.6796923836838182</c:v>
                </c:pt>
                <c:pt idx="70">
                  <c:v>5.8464996721384068</c:v>
                </c:pt>
                <c:pt idx="71">
                  <c:v>6.0163704028667535</c:v>
                </c:pt>
                <c:pt idx="72">
                  <c:v>6.1893388263339073</c:v>
                </c:pt>
                <c:pt idx="73">
                  <c:v>6.3654386227593758</c:v>
                </c:pt>
                <c:pt idx="74">
                  <c:v>6.5447028464949923</c:v>
                </c:pt>
                <c:pt idx="75">
                  <c:v>6.7271638681754586</c:v>
                </c:pt>
                <c:pt idx="76">
                  <c:v>6.9128533145931454</c:v>
                </c:pt>
                <c:pt idx="77">
                  <c:v>7.1018020062497316</c:v>
                </c:pt>
                <c:pt idx="78">
                  <c:v>7.2940398925383718</c:v>
                </c:pt>
                <c:pt idx="79">
                  <c:v>7.4895959845113831</c:v>
                </c:pt>
                <c:pt idx="80">
                  <c:v>7.6884982851899917</c:v>
                </c:pt>
                <c:pt idx="81">
                  <c:v>7.8907737173743868</c:v>
                </c:pt>
                <c:pt idx="82">
                  <c:v>8.0942256477847412</c:v>
                </c:pt>
                <c:pt idx="83">
                  <c:v>8.2988459497958207</c:v>
                </c:pt>
                <c:pt idx="84">
                  <c:v>8.5046260943408445</c:v>
                </c:pt>
                <c:pt idx="85">
                  <c:v>8.7115571431840237</c:v>
                </c:pt>
                <c:pt idx="86">
                  <c:v>8.9196297421768804</c:v>
                </c:pt>
                <c:pt idx="87">
                  <c:v>9.1288341145013412</c:v>
                </c:pt>
                <c:pt idx="88">
                  <c:v>9.339160053902738</c:v>
                </c:pt>
                <c:pt idx="89">
                  <c:v>9.5505969179159713</c:v>
                </c:pt>
                <c:pt idx="90">
                  <c:v>9.7631336210881976</c:v>
                </c:pt>
                <c:pt idx="91">
                  <c:v>9.9767586282015301</c:v>
                </c:pt>
                <c:pt idx="92">
                  <c:v>10.191459947499371</c:v>
                </c:pt>
                <c:pt idx="93">
                  <c:v>10.407225123920091</c:v>
                </c:pt>
                <c:pt idx="94">
                  <c:v>10.62404123234194</c:v>
                </c:pt>
                <c:pt idx="95">
                  <c:v>10.841894870843173</c:v>
                </c:pt>
                <c:pt idx="96">
                  <c:v>11.060772153981501</c:v>
                </c:pt>
                <c:pt idx="97">
                  <c:v>11.280658706097142</c:v>
                </c:pt>
                <c:pt idx="98">
                  <c:v>11.501539654643834</c:v>
                </c:pt>
                <c:pt idx="99">
                  <c:v>11.72339962355235</c:v>
                </c:pt>
                <c:pt idx="100">
                  <c:v>11.946222726631181</c:v>
                </c:pt>
                <c:pt idx="101">
                  <c:v>12.169992561009151</c:v>
                </c:pt>
                <c:pt idx="102">
                  <c:v>12.394692200624949</c:v>
                </c:pt>
                <c:pt idx="103">
                  <c:v>12.620304189768621</c:v>
                </c:pt>
                <c:pt idx="104">
                  <c:v>12.846810536680271</c:v>
                </c:pt>
                <c:pt idx="105">
                  <c:v>13.074192707211305</c:v>
                </c:pt>
                <c:pt idx="106">
                  <c:v>13.302431618553774</c:v>
                </c:pt>
                <c:pt idx="107">
                  <c:v>13.531507633043443</c:v>
                </c:pt>
                <c:pt idx="108">
                  <c:v>13.761400552042392</c:v>
                </c:pt>
                <c:pt idx="109">
                  <c:v>13.992089609907126</c:v>
                </c:pt>
                <c:pt idx="110">
                  <c:v>14.223553468048264</c:v>
                </c:pt>
                <c:pt idx="111">
                  <c:v>14.455770209088094</c:v>
                </c:pt>
                <c:pt idx="112">
                  <c:v>14.688717331122366</c:v>
                </c:pt>
                <c:pt idx="113">
                  <c:v>14.92237174209289</c:v>
                </c:pt>
                <c:pt idx="114">
                  <c:v>15.156709754277644</c:v>
                </c:pt>
                <c:pt idx="115">
                  <c:v>15.391707078905233</c:v>
                </c:pt>
                <c:pt idx="116">
                  <c:v>15.627338820900706</c:v>
                </c:pt>
                <c:pt idx="117">
                  <c:v>15.863579473769905</c:v>
                </c:pt>
                <c:pt idx="118">
                  <c:v>16.100402914629612</c:v>
                </c:pt>
                <c:pt idx="119">
                  <c:v>16.337782399390978</c:v>
                </c:pt>
                <c:pt idx="120">
                  <c:v>16.575690558103819</c:v>
                </c:pt>
                <c:pt idx="121">
                  <c:v>17.064299390469539</c:v>
                </c:pt>
                <c:pt idx="122">
                  <c:v>17.548992826402383</c:v>
                </c:pt>
                <c:pt idx="123">
                  <c:v>18.029794531990742</c:v>
                </c:pt>
                <c:pt idx="124">
                  <c:v>18.506728042211666</c:v>
                </c:pt>
                <c:pt idx="125">
                  <c:v>18.979816761632723</c:v>
                </c:pt>
                <c:pt idx="126">
                  <c:v>19.449083965110166</c:v>
                </c:pt>
                <c:pt idx="127">
                  <c:v>19.914552798483413</c:v>
                </c:pt>
                <c:pt idx="128">
                  <c:v>20.376246279265875</c:v>
                </c:pt>
                <c:pt idx="129">
                  <c:v>20.834187297332114</c:v>
                </c:pt>
                <c:pt idx="130">
                  <c:v>21.288398615601409</c:v>
                </c:pt>
                <c:pt idx="131">
                  <c:v>21.738902870717681</c:v>
                </c:pt>
                <c:pt idx="132">
                  <c:v>22.185722573725858</c:v>
                </c:pt>
                <c:pt idx="133">
                  <c:v>22.628880110744653</c:v>
                </c:pt>
                <c:pt idx="134">
                  <c:v>23.068397743635817</c:v>
                </c:pt>
                <c:pt idx="135">
                  <c:v>23.50429761066982</c:v>
                </c:pt>
                <c:pt idx="136">
                  <c:v>23.936601727188062</c:v>
                </c:pt>
                <c:pt idx="137">
                  <c:v>24.365331986261555</c:v>
                </c:pt>
                <c:pt idx="138">
                  <c:v>24.790510159346155</c:v>
                </c:pt>
                <c:pt idx="139">
                  <c:v>25.212157896934322</c:v>
                </c:pt>
                <c:pt idx="140">
                  <c:v>25.630296729203437</c:v>
                </c:pt>
                <c:pt idx="141">
                  <c:v>26.044948066660719</c:v>
                </c:pt>
                <c:pt idx="142">
                  <c:v>26.456133200784709</c:v>
                </c:pt>
                <c:pt idx="143">
                  <c:v>26.863873304663386</c:v>
                </c:pt>
                <c:pt idx="144">
                  <c:v>27.268189433628908</c:v>
                </c:pt>
                <c:pt idx="145">
                  <c:v>27.669102525889013</c:v>
                </c:pt>
                <c:pt idx="146">
                  <c:v>28.066633403155066</c:v>
                </c:pt>
                <c:pt idx="147">
                  <c:v>28.460802771266817</c:v>
                </c:pt>
                <c:pt idx="148">
                  <c:v>28.851631220813836</c:v>
                </c:pt>
                <c:pt idx="149">
                  <c:v>29.239139227753689</c:v>
                </c:pt>
                <c:pt idx="150">
                  <c:v>29.623347154026835</c:v>
                </c:pt>
                <c:pt idx="151">
                  <c:v>30.004275248168277</c:v>
                </c:pt>
                <c:pt idx="152">
                  <c:v>30.381943645915992</c:v>
                </c:pt>
                <c:pt idx="153">
                  <c:v>30.756372370816148</c:v>
                </c:pt>
                <c:pt idx="154">
                  <c:v>31.127581334825116</c:v>
                </c:pt>
                <c:pt idx="155">
                  <c:v>31.495590338908308</c:v>
                </c:pt>
                <c:pt idx="156">
                  <c:v>31.86041907363585</c:v>
                </c:pt>
                <c:pt idx="157">
                  <c:v>32.222087119775125</c:v>
                </c:pt>
                <c:pt idx="158">
                  <c:v>32.58061394888017</c:v>
                </c:pt>
                <c:pt idx="159">
                  <c:v>32.936018923877945</c:v>
                </c:pt>
                <c:pt idx="160">
                  <c:v>33.288321299651557</c:v>
                </c:pt>
                <c:pt idx="161">
                  <c:v>33.637540223620341</c:v>
                </c:pt>
                <c:pt idx="162">
                  <c:v>33.983694736316934</c:v>
                </c:pt>
                <c:pt idx="163">
                  <c:v>34.326803771961245</c:v>
                </c:pt>
                <c:pt idx="164">
                  <c:v>34.666886159031449</c:v>
                </c:pt>
                <c:pt idx="165">
                  <c:v>35.003960620831926</c:v>
                </c:pt>
                <c:pt idx="166">
                  <c:v>35.338045776058216</c:v>
                </c:pt>
                <c:pt idx="167">
                  <c:v>35.669160139358986</c:v>
                </c:pt>
                <c:pt idx="168">
                  <c:v>35.997322121895003</c:v>
                </c:pt>
                <c:pt idx="169">
                  <c:v>36.322550031895211</c:v>
                </c:pt>
                <c:pt idx="170">
                  <c:v>36.644862075209836</c:v>
                </c:pt>
                <c:pt idx="171">
                  <c:v>36.964276355860534</c:v>
                </c:pt>
                <c:pt idx="172">
                  <c:v>37.280810876587701</c:v>
                </c:pt>
                <c:pt idx="173">
                  <c:v>37.594483539394844</c:v>
                </c:pt>
                <c:pt idx="174">
                  <c:v>37.905312146090097</c:v>
                </c:pt>
                <c:pt idx="175">
                  <c:v>38.213314398824842</c:v>
                </c:pt>
                <c:pt idx="176">
                  <c:v>38.518507900629544</c:v>
                </c:pt>
                <c:pt idx="177">
                  <c:v>38.820910155946692</c:v>
                </c:pt>
                <c:pt idx="178">
                  <c:v>39.120538571160957</c:v>
                </c:pt>
                <c:pt idx="179">
                  <c:v>39.417410455126536</c:v>
                </c:pt>
                <c:pt idx="180">
                  <c:v>39.711543019691732</c:v>
                </c:pt>
                <c:pt idx="181">
                  <c:v>40.002953380220717</c:v>
                </c:pt>
                <c:pt idx="182">
                  <c:v>40.291658556112559</c:v>
                </c:pt>
                <c:pt idx="183">
                  <c:v>40.577675471317555</c:v>
                </c:pt>
                <c:pt idx="184">
                  <c:v>40.861020954850723</c:v>
                </c:pt>
                <c:pt idx="185">
                  <c:v>41.141711741302686</c:v>
                </c:pt>
                <c:pt idx="186">
                  <c:v>41.419764471347804</c:v>
                </c:pt>
                <c:pt idx="187">
                  <c:v>41.695195692249619</c:v>
                </c:pt>
                <c:pt idx="188">
                  <c:v>41.968021858363649</c:v>
                </c:pt>
                <c:pt idx="189">
                  <c:v>42.238259331637494</c:v>
                </c:pt>
                <c:pt idx="190">
                  <c:v>42.50592438210834</c:v>
                </c:pt>
                <c:pt idx="191">
                  <c:v>42.771033188397787</c:v>
                </c:pt>
                <c:pt idx="192">
                  <c:v>43.033601838204071</c:v>
                </c:pt>
                <c:pt idx="193">
                  <c:v>43.293646328791723</c:v>
                </c:pt>
                <c:pt idx="194">
                  <c:v>43.551182567478584</c:v>
                </c:pt>
                <c:pt idx="195">
                  <c:v>43.806226372120271</c:v>
                </c:pt>
                <c:pt idx="196">
                  <c:v>44.058793471592082</c:v>
                </c:pt>
                <c:pt idx="197">
                  <c:v>44.30889950626834</c:v>
                </c:pt>
                <c:pt idx="198">
                  <c:v>44.556560028499206</c:v>
                </c:pt>
                <c:pt idx="199">
                  <c:v>44.801790503084987</c:v>
                </c:pt>
                <c:pt idx="200">
                  <c:v>45.044606307747905</c:v>
                </c:pt>
                <c:pt idx="201">
                  <c:v>45.28502273360138</c:v>
                </c:pt>
                <c:pt idx="202">
                  <c:v>45.523054985616859</c:v>
                </c:pt>
                <c:pt idx="203">
                  <c:v>45.758718183088135</c:v>
                </c:pt>
                <c:pt idx="204">
                  <c:v>45.992027360093225</c:v>
                </c:pt>
                <c:pt idx="205">
                  <c:v>46.222997465953803</c:v>
                </c:pt>
                <c:pt idx="206">
                  <c:v>46.451643365692213</c:v>
                </c:pt>
                <c:pt idx="207">
                  <c:v>46.677979840486039</c:v>
                </c:pt>
                <c:pt idx="208">
                  <c:v>46.902021588120306</c:v>
                </c:pt>
                <c:pt idx="209">
                  <c:v>47.123783223437258</c:v>
                </c:pt>
                <c:pt idx="210">
                  <c:v>47.343279278783747</c:v>
                </c:pt>
                <c:pt idx="211">
                  <c:v>47.5605242044563</c:v>
                </c:pt>
                <c:pt idx="212">
                  <c:v>47.775532369143768</c:v>
                </c:pt>
                <c:pt idx="213">
                  <c:v>47.988318060367703</c:v>
                </c:pt>
                <c:pt idx="214">
                  <c:v>48.198895484920328</c:v>
                </c:pt>
                <c:pt idx="215">
                  <c:v>48.407278769300255</c:v>
                </c:pt>
                <c:pt idx="216">
                  <c:v>48.613481960145869</c:v>
                </c:pt>
                <c:pt idx="217">
                  <c:v>48.817519024666396</c:v>
                </c:pt>
                <c:pt idx="218">
                  <c:v>49.01940385107072</c:v>
                </c:pt>
                <c:pt idx="219">
                  <c:v>49.219150248993934</c:v>
                </c:pt>
                <c:pt idx="220">
                  <c:v>49.416771949921589</c:v>
                </c:pt>
                <c:pt idx="221">
                  <c:v>49.612282607611746</c:v>
                </c:pt>
                <c:pt idx="222">
                  <c:v>49.805695798514776</c:v>
                </c:pt>
                <c:pt idx="223">
                  <c:v>49.997025022190911</c:v>
                </c:pt>
                <c:pt idx="224">
                  <c:v>50.186283701725635</c:v>
                </c:pt>
                <c:pt idx="225">
                  <c:v>50.373485184142822</c:v>
                </c:pt>
                <c:pt idx="226">
                  <c:v>50.558642740815728</c:v>
                </c:pt>
                <c:pt idx="227">
                  <c:v>50.741769567875771</c:v>
                </c:pt>
                <c:pt idx="228">
                  <c:v>50.922878786619172</c:v>
                </c:pt>
                <c:pt idx="229">
                  <c:v>51.10198344391145</c:v>
                </c:pt>
                <c:pt idx="230">
                  <c:v>51.279096512589732</c:v>
                </c:pt>
                <c:pt idx="231">
                  <c:v>51.45423089186297</c:v>
                </c:pt>
                <c:pt idx="232">
                  <c:v>51.627399407710008</c:v>
                </c:pt>
                <c:pt idx="233">
                  <c:v>51.798614813275591</c:v>
                </c:pt>
                <c:pt idx="234">
                  <c:v>51.96788978926422</c:v>
                </c:pt>
                <c:pt idx="235">
                  <c:v>52.135236944331929</c:v>
                </c:pt>
                <c:pt idx="236">
                  <c:v>52.300668815476037</c:v>
                </c:pt>
                <c:pt idx="237">
                  <c:v>52.464197868422758</c:v>
                </c:pt>
                <c:pt idx="238">
                  <c:v>52.625836498012831</c:v>
                </c:pt>
                <c:pt idx="239">
                  <c:v>52.78559702858503</c:v>
                </c:pt>
                <c:pt idx="240">
                  <c:v>52.943491714357727</c:v>
                </c:pt>
                <c:pt idx="241">
                  <c:v>53.349732739808353</c:v>
                </c:pt>
                <c:pt idx="242">
                  <c:v>53.752232576550909</c:v>
                </c:pt>
                <c:pt idx="243">
                  <c:v>54.151014589836066</c:v>
                </c:pt>
                <c:pt idx="244">
                  <c:v>54.546102013926067</c:v>
                </c:pt>
                <c:pt idx="245">
                  <c:v>54.937517952799418</c:v>
                </c:pt>
                <c:pt idx="246">
                  <c:v>55.32528538085181</c:v>
                </c:pt>
                <c:pt idx="247">
                  <c:v>55.709427143593373</c:v>
                </c:pt>
                <c:pt idx="248">
                  <c:v>56.089965958342212</c:v>
                </c:pt>
                <c:pt idx="249">
                  <c:v>56.466924414914281</c:v>
                </c:pt>
                <c:pt idx="250">
                  <c:v>56.840324976309638</c:v>
                </c:pt>
                <c:pt idx="251">
                  <c:v>57.210189979395039</c:v>
                </c:pt>
                <c:pt idx="252">
                  <c:v>57.576541635582942</c:v>
                </c:pt>
                <c:pt idx="253">
                  <c:v>57.939402031506901</c:v>
                </c:pt>
                <c:pt idx="254">
                  <c:v>58.298793129693408</c:v>
                </c:pt>
                <c:pt idx="255">
                  <c:v>58.654736769230183</c:v>
                </c:pt>
                <c:pt idx="256">
                  <c:v>59.007254666430903</c:v>
                </c:pt>
                <c:pt idx="257">
                  <c:v>59.356368415496455</c:v>
                </c:pt>
                <c:pt idx="258">
                  <c:v>59.702099489172653</c:v>
                </c:pt>
                <c:pt idx="259">
                  <c:v>60.044469239404485</c:v>
                </c:pt>
                <c:pt idx="260">
                  <c:v>60.383498897986954</c:v>
                </c:pt>
                <c:pt idx="261">
                  <c:v>60.719209577212368</c:v>
                </c:pt>
                <c:pt idx="262">
                  <c:v>61.051622270514308</c:v>
                </c:pt>
                <c:pt idx="263">
                  <c:v>61.380757853108136</c:v>
                </c:pt>
                <c:pt idx="264">
                  <c:v>61.706637082628141</c:v>
                </c:pt>
                <c:pt idx="265">
                  <c:v>62.029280599761272</c:v>
                </c:pt>
                <c:pt idx="266">
                  <c:v>62.348708928877585</c:v>
                </c:pt>
                <c:pt idx="267">
                  <c:v>62.664942478657288</c:v>
                </c:pt>
                <c:pt idx="268">
                  <c:v>62.978001542714495</c:v>
                </c:pt>
                <c:pt idx="269">
                  <c:v>63.287906300217685</c:v>
                </c:pt>
                <c:pt idx="270">
                  <c:v>63.594676816506897</c:v>
                </c:pt>
                <c:pt idx="271">
                  <c:v>63.898333043707602</c:v>
                </c:pt>
                <c:pt idx="272">
                  <c:v>64.198894821341369</c:v>
                </c:pt>
                <c:pt idx="273">
                  <c:v>64.496381876933285</c:v>
                </c:pt>
                <c:pt idx="274">
                  <c:v>64.790813826616201</c:v>
                </c:pt>
                <c:pt idx="275">
                  <c:v>65.082210175731674</c:v>
                </c:pt>
                <c:pt idx="276">
                  <c:v>65.370590319427862</c:v>
                </c:pt>
                <c:pt idx="277">
                  <c:v>65.655973543254149</c:v>
                </c:pt>
                <c:pt idx="278">
                  <c:v>65.938379023752674</c:v>
                </c:pt>
                <c:pt idx="279">
                  <c:v>66.217825829046731</c:v>
                </c:pt>
                <c:pt idx="280">
                  <c:v>66.494332919426029</c:v>
                </c:pt>
                <c:pt idx="281">
                  <c:v>66.767919147928836</c:v>
                </c:pt>
                <c:pt idx="282">
                  <c:v>67.038603260921121</c:v>
                </c:pt>
                <c:pt idx="283">
                  <c:v>67.306403898672542</c:v>
                </c:pt>
                <c:pt idx="284">
                  <c:v>67.57133959592943</c:v>
                </c:pt>
                <c:pt idx="285">
                  <c:v>67.833428782484731</c:v>
                </c:pt>
                <c:pt idx="286">
                  <c:v>68.092689783744916</c:v>
                </c:pt>
                <c:pt idx="287">
                  <c:v>68.349140821293915</c:v>
                </c:pt>
                <c:pt idx="288">
                  <c:v>68.602800013454043</c:v>
                </c:pt>
                <c:pt idx="289">
                  <c:v>68.853685375843952</c:v>
                </c:pt>
                <c:pt idx="290">
                  <c:v>69.101814821933644</c:v>
                </c:pt>
                <c:pt idx="291">
                  <c:v>69.347206163596553</c:v>
                </c:pt>
                <c:pt idx="292">
                  <c:v>69.589877111658666</c:v>
                </c:pt>
                <c:pt idx="293">
                  <c:v>69.829845276444743</c:v>
                </c:pt>
                <c:pt idx="294">
                  <c:v>70.067128168321702</c:v>
                </c:pt>
                <c:pt idx="295">
                  <c:v>70.301743198239052</c:v>
                </c:pt>
                <c:pt idx="296">
                  <c:v>70.533707678266467</c:v>
                </c:pt>
                <c:pt idx="297">
                  <c:v>70.763038822128607</c:v>
                </c:pt>
                <c:pt idx="298">
                  <c:v>70.989753745736948</c:v>
                </c:pt>
                <c:pt idx="299">
                  <c:v>71.213869467718908</c:v>
                </c:pt>
                <c:pt idx="300">
                  <c:v>71.435402909944187</c:v>
                </c:pt>
                <c:pt idx="301">
                  <c:v>71.654370898048228</c:v>
                </c:pt>
                <c:pt idx="302">
                  <c:v>71.870790161952939</c:v>
                </c:pt>
                <c:pt idx="303">
                  <c:v>72.084677336384686</c:v>
                </c:pt>
                <c:pt idx="304">
                  <c:v>72.296048961389516</c:v>
                </c:pt>
                <c:pt idx="305">
                  <c:v>72.504921482845631</c:v>
                </c:pt>
                <c:pt idx="306">
                  <c:v>72.711311252973189</c:v>
                </c:pt>
                <c:pt idx="307">
                  <c:v>72.915234530841374</c:v>
                </c:pt>
                <c:pt idx="308">
                  <c:v>73.116707482872755</c:v>
                </c:pt>
                <c:pt idx="309">
                  <c:v>73.31574618334507</c:v>
                </c:pt>
                <c:pt idx="310">
                  <c:v>73.512366614890183</c:v>
                </c:pt>
                <c:pt idx="311">
                  <c:v>73.706584668990587</c:v>
                </c:pt>
                <c:pt idx="312">
                  <c:v>73.898416146473082</c:v>
                </c:pt>
                <c:pt idx="313">
                  <c:v>74.087876758000036</c:v>
                </c:pt>
                <c:pt idx="314">
                  <c:v>74.274982124557866</c:v>
                </c:pt>
                <c:pt idx="315">
                  <c:v>74.459747777943022</c:v>
                </c:pt>
                <c:pt idx="316">
                  <c:v>74.642189161245355</c:v>
                </c:pt>
                <c:pt idx="317">
                  <c:v>74.822321629328968</c:v>
                </c:pt>
                <c:pt idx="318">
                  <c:v>75.000160449310471</c:v>
                </c:pt>
                <c:pt idx="319">
                  <c:v>75.175720801034714</c:v>
                </c:pt>
                <c:pt idx="320">
                  <c:v>75.349017777547999</c:v>
                </c:pt>
                <c:pt idx="321">
                  <c:v>75.520066385568768</c:v>
                </c:pt>
                <c:pt idx="322">
                  <c:v>75.688881545955851</c:v>
                </c:pt>
                <c:pt idx="323">
                  <c:v>75.855478094174131</c:v>
                </c:pt>
                <c:pt idx="324">
                  <c:v>76.019870780757827</c:v>
                </c:pt>
                <c:pt idx="325">
                  <c:v>76.182074271771256</c:v>
                </c:pt>
                <c:pt idx="326">
                  <c:v>76.342103149267231</c:v>
                </c:pt>
                <c:pt idx="327">
                  <c:v>76.499971911742918</c:v>
                </c:pt>
                <c:pt idx="328">
                  <c:v>76.655694974593374</c:v>
                </c:pt>
                <c:pt idx="329">
                  <c:v>76.809286670562599</c:v>
                </c:pt>
                <c:pt idx="330">
                  <c:v>76.960761250192249</c:v>
                </c:pt>
                <c:pt idx="331">
                  <c:v>77.110132882267933</c:v>
                </c:pt>
                <c:pt idx="332">
                  <c:v>77.257415654263212</c:v>
                </c:pt>
                <c:pt idx="333">
                  <c:v>77.402623572781124</c:v>
                </c:pt>
                <c:pt idx="334">
                  <c:v>77.545770563993415</c:v>
                </c:pt>
                <c:pt idx="335">
                  <c:v>77.686870474077551</c:v>
                </c:pt>
                <c:pt idx="336">
                  <c:v>77.825937069651189</c:v>
                </c:pt>
                <c:pt idx="337">
                  <c:v>77.962984038204553</c:v>
                </c:pt>
                <c:pt idx="338">
                  <c:v>78.098024988530369</c:v>
                </c:pt>
                <c:pt idx="339">
                  <c:v>78.231073451151616</c:v>
                </c:pt>
                <c:pt idx="340">
                  <c:v>78.362142878746909</c:v>
                </c:pt>
                <c:pt idx="341">
                  <c:v>78.741446646573721</c:v>
                </c:pt>
                <c:pt idx="342">
                  <c:v>79.116898409389279</c:v>
                </c:pt>
                <c:pt idx="343">
                  <c:v>79.488522707993937</c:v>
                </c:pt>
                <c:pt idx="344">
                  <c:v>79.856343944648998</c:v>
                </c:pt>
                <c:pt idx="345">
                  <c:v>80.220386383824163</c:v>
                </c:pt>
                <c:pt idx="346">
                  <c:v>80.580674152940986</c:v>
                </c:pt>
                <c:pt idx="347">
                  <c:v>80.937231243112421</c:v>
                </c:pt>
                <c:pt idx="348">
                  <c:v>81.290081509878362</c:v>
                </c:pt>
                <c:pt idx="349">
                  <c:v>81.639248673937388</c:v>
                </c:pt>
                <c:pt idx="350">
                  <c:v>81.984756321874599</c:v>
                </c:pt>
                <c:pt idx="351">
                  <c:v>82.326627906885619</c:v>
                </c:pt>
                <c:pt idx="352">
                  <c:v>82.664886749496688</c:v>
                </c:pt>
                <c:pt idx="353">
                  <c:v>82.999556038281085</c:v>
                </c:pt>
                <c:pt idx="354">
                  <c:v>83.330658830571579</c:v>
                </c:pt>
                <c:pt idx="355">
                  <c:v>83.658218053169293</c:v>
                </c:pt>
                <c:pt idx="356">
                  <c:v>83.982256503048646</c:v>
                </c:pt>
                <c:pt idx="357">
                  <c:v>84.302796848058676</c:v>
                </c:pt>
                <c:pt idx="358">
                  <c:v>84.619861627620608</c:v>
                </c:pt>
                <c:pt idx="359">
                  <c:v>84.93347325342171</c:v>
                </c:pt>
                <c:pt idx="360">
                  <c:v>85.243654010105544</c:v>
                </c:pt>
                <c:pt idx="361">
                  <c:v>85.55042605595844</c:v>
                </c:pt>
                <c:pt idx="362">
                  <c:v>85.844869266490463</c:v>
                </c:pt>
                <c:pt idx="363">
                  <c:v>86.127559475274111</c:v>
                </c:pt>
                <c:pt idx="364">
                  <c:v>86.3990406852148</c:v>
                </c:pt>
                <c:pt idx="365">
                  <c:v>86.659827082965549</c:v>
                </c:pt>
                <c:pt idx="366">
                  <c:v>86.91040491301537</c:v>
                </c:pt>
                <c:pt idx="367">
                  <c:v>87.151234222009847</c:v>
                </c:pt>
                <c:pt idx="368">
                  <c:v>87.382750483007953</c:v>
                </c:pt>
                <c:pt idx="369">
                  <c:v>87.605366108598972</c:v>
                </c:pt>
                <c:pt idx="370">
                  <c:v>87.819471861090491</c:v>
                </c:pt>
                <c:pt idx="371">
                  <c:v>88.025438167326868</c:v>
                </c:pt>
                <c:pt idx="372">
                  <c:v>88.223616345101092</c:v>
                </c:pt>
                <c:pt idx="373">
                  <c:v>88.414339747577586</c:v>
                </c:pt>
                <c:pt idx="374">
                  <c:v>88.59792483164334</c:v>
                </c:pt>
                <c:pt idx="375">
                  <c:v>88.774672155646925</c:v>
                </c:pt>
                <c:pt idx="376">
                  <c:v>88.944867311564749</c:v>
                </c:pt>
                <c:pt idx="377">
                  <c:v>89.108781796248607</c:v>
                </c:pt>
                <c:pt idx="378">
                  <c:v>89.266673826054628</c:v>
                </c:pt>
                <c:pt idx="379">
                  <c:v>89.418789098829095</c:v>
                </c:pt>
                <c:pt idx="380">
                  <c:v>89.565361506927488</c:v>
                </c:pt>
                <c:pt idx="381">
                  <c:v>89.706613804668677</c:v>
                </c:pt>
                <c:pt idx="382">
                  <c:v>89.842758233373644</c:v>
                </c:pt>
                <c:pt idx="383">
                  <c:v>89.973997106905301</c:v>
                </c:pt>
                <c:pt idx="384">
                  <c:v>90.100523360411685</c:v>
                </c:pt>
                <c:pt idx="385">
                  <c:v>90.222521064777638</c:v>
                </c:pt>
                <c:pt idx="386">
                  <c:v>90.340165909107967</c:v>
                </c:pt>
                <c:pt idx="387">
                  <c:v>90.453625653397054</c:v>
                </c:pt>
                <c:pt idx="388">
                  <c:v>90.563060553385128</c:v>
                </c:pt>
                <c:pt idx="389">
                  <c:v>90.668623759458328</c:v>
                </c:pt>
                <c:pt idx="390">
                  <c:v>90.770461691317436</c:v>
                </c:pt>
                <c:pt idx="391">
                  <c:v>90.868714390018155</c:v>
                </c:pt>
                <c:pt idx="392">
                  <c:v>90.963515848872674</c:v>
                </c:pt>
                <c:pt idx="393">
                  <c:v>91.054994324598141</c:v>
                </c:pt>
                <c:pt idx="394">
                  <c:v>91.143272630000595</c:v>
                </c:pt>
                <c:pt idx="395">
                  <c:v>91.228468409393685</c:v>
                </c:pt>
                <c:pt idx="396">
                  <c:v>91.310694397868474</c:v>
                </c:pt>
                <c:pt idx="397">
                  <c:v>91.390058665453864</c:v>
                </c:pt>
                <c:pt idx="398">
                  <c:v>91.466664847135789</c:v>
                </c:pt>
                <c:pt idx="399">
                  <c:v>91.540612359637578</c:v>
                </c:pt>
                <c:pt idx="400">
                  <c:v>91.611996605802233</c:v>
                </c:pt>
                <c:pt idx="401">
                  <c:v>91.876487198495965</c:v>
                </c:pt>
                <c:pt idx="402">
                  <c:v>92.13741975001048</c:v>
                </c:pt>
                <c:pt idx="403">
                  <c:v>92.394846698221471</c:v>
                </c:pt>
                <c:pt idx="404">
                  <c:v>92.648819584272545</c:v>
                </c:pt>
                <c:pt idx="405">
                  <c:v>92.899389070614149</c:v>
                </c:pt>
                <c:pt idx="406">
                  <c:v>93.14660495862806</c:v>
                </c:pt>
                <c:pt idx="407">
                  <c:v>93.390516205848328</c:v>
                </c:pt>
                <c:pt idx="408">
                  <c:v>93.631170942788543</c:v>
                </c:pt>
                <c:pt idx="409">
                  <c:v>93.86861648938563</c:v>
                </c:pt>
                <c:pt idx="410">
                  <c:v>94.102899371069682</c:v>
                </c:pt>
                <c:pt idx="411">
                  <c:v>94.334065334469187</c:v>
                </c:pt>
                <c:pt idx="412">
                  <c:v>94.562159362760937</c:v>
                </c:pt>
                <c:pt idx="413">
                  <c:v>94.787225690673338</c:v>
                </c:pt>
                <c:pt idx="414">
                  <c:v>95.009307819151914</c:v>
                </c:pt>
                <c:pt idx="415">
                  <c:v>95.228448529695314</c:v>
                </c:pt>
                <c:pt idx="416">
                  <c:v>95.444689898370086</c:v>
                </c:pt>
                <c:pt idx="417">
                  <c:v>95.658073309512062</c:v>
                </c:pt>
                <c:pt idx="418">
                  <c:v>95.868639469122272</c:v>
                </c:pt>
                <c:pt idx="419">
                  <c:v>96.076428417964792</c:v>
                </c:pt>
                <c:pt idx="420">
                  <c:v>96.281479544373923</c:v>
                </c:pt>
                <c:pt idx="421">
                  <c:v>96.483831596777875</c:v>
                </c:pt>
                <c:pt idx="422">
                  <c:v>96.683522695945783</c:v>
                </c:pt>
                <c:pt idx="423">
                  <c:v>96.880590346965022</c:v>
                </c:pt>
                <c:pt idx="424">
                  <c:v>97.075071450955221</c:v>
                </c:pt>
                <c:pt idx="425">
                  <c:v>97.267002316525506</c:v>
                </c:pt>
                <c:pt idx="426">
                  <c:v>97.456418670981151</c:v>
                </c:pt>
                <c:pt idx="427">
                  <c:v>97.643355671285804</c:v>
                </c:pt>
                <c:pt idx="428">
                  <c:v>97.827847914785067</c:v>
                </c:pt>
                <c:pt idx="429">
                  <c:v>98.009929449697381</c:v>
                </c:pt>
                <c:pt idx="430">
                  <c:v>98.18963378537758</c:v>
                </c:pt>
                <c:pt idx="431">
                  <c:v>98.366993902358914</c:v>
                </c:pt>
                <c:pt idx="432">
                  <c:v>98.542042262178484</c:v>
                </c:pt>
                <c:pt idx="433">
                  <c:v>98.714810816991601</c:v>
                </c:pt>
                <c:pt idx="434">
                  <c:v>98.885331018979969</c:v>
                </c:pt>
                <c:pt idx="435">
                  <c:v>99.053633829558521</c:v>
                </c:pt>
                <c:pt idx="436">
                  <c:v>99.219749728385963</c:v>
                </c:pt>
                <c:pt idx="437">
                  <c:v>99.383708722183371</c:v>
                </c:pt>
                <c:pt idx="438">
                  <c:v>99.545540353365695</c:v>
                </c:pt>
                <c:pt idx="439">
                  <c:v>99.705273708490395</c:v>
                </c:pt>
                <c:pt idx="440">
                  <c:v>99.862937426527594</c:v>
                </c:pt>
                <c:pt idx="441">
                  <c:v>100.01855970695593</c:v>
                </c:pt>
                <c:pt idx="442">
                  <c:v>100.17216831768826</c:v>
                </c:pt>
                <c:pt idx="443">
                  <c:v>100.3237906028312</c:v>
                </c:pt>
                <c:pt idx="444">
                  <c:v>100.47345349028227</c:v>
                </c:pt>
                <c:pt idx="445">
                  <c:v>100.62118349916865</c:v>
                </c:pt>
                <c:pt idx="446">
                  <c:v>100.76700674713105</c:v>
                </c:pt>
                <c:pt idx="447">
                  <c:v>100.91094895745641</c:v>
                </c:pt>
                <c:pt idx="448">
                  <c:v>101.05303546606295</c:v>
                </c:pt>
                <c:pt idx="449">
                  <c:v>101.1932912283408</c:v>
                </c:pt>
                <c:pt idx="450">
                  <c:v>101.33174082585195</c:v>
                </c:pt>
                <c:pt idx="451">
                  <c:v>101.46840847289229</c:v>
                </c:pt>
                <c:pt idx="452">
                  <c:v>101.60331802291928</c:v>
                </c:pt>
                <c:pt idx="453">
                  <c:v>101.73649297484816</c:v>
                </c:pt>
                <c:pt idx="454">
                  <c:v>101.86795647921977</c:v>
                </c:pt>
                <c:pt idx="455">
                  <c:v>101.99773134424298</c:v>
                </c:pt>
                <c:pt idx="456">
                  <c:v>102.12584004171438</c:v>
                </c:pt>
                <c:pt idx="457">
                  <c:v>102.25230471281836</c:v>
                </c:pt>
                <c:pt idx="458">
                  <c:v>102.37714717380997</c:v>
                </c:pt>
                <c:pt idx="459">
                  <c:v>102.50038892158349</c:v>
                </c:pt>
                <c:pt idx="460">
                  <c:v>102.62205113912913</c:v>
                </c:pt>
                <c:pt idx="461">
                  <c:v>102.74215470088043</c:v>
                </c:pt>
                <c:pt idx="462">
                  <c:v>102.86072017795492</c:v>
                </c:pt>
                <c:pt idx="463">
                  <c:v>102.97776784329025</c:v>
                </c:pt>
                <c:pt idx="464">
                  <c:v>103.0933176766784</c:v>
                </c:pt>
                <c:pt idx="465">
                  <c:v>103.20738936969997</c:v>
                </c:pt>
                <c:pt idx="466">
                  <c:v>103.32000233056111</c:v>
                </c:pt>
                <c:pt idx="467">
                  <c:v>103.43117568883491</c:v>
                </c:pt>
                <c:pt idx="468">
                  <c:v>103.54092830010966</c:v>
                </c:pt>
                <c:pt idx="469">
                  <c:v>103.64927875054595</c:v>
                </c:pt>
                <c:pt idx="470">
                  <c:v>103.75624536134464</c:v>
                </c:pt>
                <c:pt idx="471">
                  <c:v>103.86184619312762</c:v>
                </c:pt>
                <c:pt idx="472">
                  <c:v>103.96609905023341</c:v>
                </c:pt>
                <c:pt idx="473">
                  <c:v>104.06902148492937</c:v>
                </c:pt>
                <c:pt idx="474">
                  <c:v>104.17063080154243</c:v>
                </c:pt>
                <c:pt idx="475">
                  <c:v>104.2709440605101</c:v>
                </c:pt>
                <c:pt idx="476">
                  <c:v>104.36997808235347</c:v>
                </c:pt>
                <c:pt idx="477">
                  <c:v>104.46774945157402</c:v>
                </c:pt>
                <c:pt idx="478">
                  <c:v>104.56427452047575</c:v>
                </c:pt>
                <c:pt idx="479">
                  <c:v>104.65956941291442</c:v>
                </c:pt>
                <c:pt idx="480">
                  <c:v>104.75365002797541</c:v>
                </c:pt>
                <c:pt idx="481">
                  <c:v>104.84653204358165</c:v>
                </c:pt>
                <c:pt idx="482">
                  <c:v>104.93605841416368</c:v>
                </c:pt>
                <c:pt idx="483">
                  <c:v>105.02234621142925</c:v>
                </c:pt>
                <c:pt idx="484">
                  <c:v>105.1055084615972</c:v>
                </c:pt>
                <c:pt idx="485">
                  <c:v>105.18565429144046</c:v>
                </c:pt>
                <c:pt idx="486">
                  <c:v>105.2628890683788</c:v>
                </c:pt>
                <c:pt idx="487">
                  <c:v>105.33731453490924</c:v>
                </c:pt>
                <c:pt idx="488">
                  <c:v>105.40902893764623</c:v>
                </c:pt>
                <c:pt idx="489">
                  <c:v>105.47812715122782</c:v>
                </c:pt>
                <c:pt idx="490">
                  <c:v>105.54470079733071</c:v>
                </c:pt>
                <c:pt idx="491">
                  <c:v>105.60883835902253</c:v>
                </c:pt>
                <c:pt idx="492">
                  <c:v>105.67062529066837</c:v>
                </c:pt>
                <c:pt idx="493">
                  <c:v>105.73014412359571</c:v>
                </c:pt>
                <c:pt idx="494">
                  <c:v>105.78747456771148</c:v>
                </c:pt>
                <c:pt idx="495">
                  <c:v>105.84269360925425</c:v>
                </c:pt>
                <c:pt idx="496">
                  <c:v>105.89587560485471</c:v>
                </c:pt>
                <c:pt idx="497">
                  <c:v>105.94709237206865</c:v>
                </c:pt>
                <c:pt idx="498">
                  <c:v>105.99641327653775</c:v>
                </c:pt>
                <c:pt idx="499">
                  <c:v>106.0439053159252</c:v>
                </c:pt>
                <c:pt idx="500">
                  <c:v>106.08963320076613</c:v>
                </c:pt>
                <c:pt idx="501">
                  <c:v>106.13365943236457</c:v>
                </c:pt>
                <c:pt idx="502">
                  <c:v>106.17604437786302</c:v>
                </c:pt>
                <c:pt idx="503">
                  <c:v>106.21684634260346</c:v>
                </c:pt>
                <c:pt idx="504">
                  <c:v>106.2561216398928</c:v>
                </c:pt>
                <c:pt idx="505">
                  <c:v>106.29392465828045</c:v>
                </c:pt>
                <c:pt idx="506">
                  <c:v>106.33030792644985</c:v>
                </c:pt>
                <c:pt idx="507">
                  <c:v>106.36532217582105</c:v>
                </c:pt>
                <c:pt idx="508">
                  <c:v>106.39901640095661</c:v>
                </c:pt>
                <c:pt idx="509">
                  <c:v>106.43143791785849</c:v>
                </c:pt>
                <c:pt idx="510">
                  <c:v>106.46263242023956</c:v>
                </c:pt>
                <c:pt idx="511">
                  <c:v>106.49264403384926</c:v>
                </c:pt>
                <c:pt idx="512">
                  <c:v>106.52151536892913</c:v>
                </c:pt>
                <c:pt idx="513">
                  <c:v>106.54928757087038</c:v>
                </c:pt>
                <c:pt idx="514">
                  <c:v>106.57600036914252</c:v>
                </c:pt>
                <c:pt idx="515">
                  <c:v>106.60169212455857</c:v>
                </c:pt>
                <c:pt idx="516">
                  <c:v>106.62639987493947</c:v>
                </c:pt>
                <c:pt idx="517">
                  <c:v>106.65015937923772</c:v>
                </c:pt>
                <c:pt idx="518">
                  <c:v>106.67300516017721</c:v>
                </c:pt>
                <c:pt idx="519">
                  <c:v>106.69497054546387</c:v>
                </c:pt>
                <c:pt idx="520">
                  <c:v>106.71608770761948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F2-4F68-94AB-D573D348D572}"/>
            </c:ext>
          </c:extLst>
        </c:ser>
        <c:ser>
          <c:idx val="2"/>
          <c:order val="2"/>
          <c:tx>
            <c:strRef>
              <c:f>estimation!$S$1</c:f>
              <c:strCache>
                <c:ptCount val="1"/>
                <c:pt idx="0">
                  <c:v>cC (mg/L)</c:v>
                </c:pt>
              </c:strCache>
            </c:strRef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estimation!$P$2:$P$1838</c:f>
              <c:numCache>
                <c:formatCode>0.00</c:formatCode>
                <c:ptCount val="1837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</c:numCache>
            </c:numRef>
          </c:xVal>
          <c:yVal>
            <c:numRef>
              <c:f>estimation!$S$2:$S$1838</c:f>
              <c:numCache>
                <c:formatCode>0.0</c:formatCode>
                <c:ptCount val="1837"/>
                <c:pt idx="0">
                  <c:v>0</c:v>
                </c:pt>
                <c:pt idx="1">
                  <c:v>0</c:v>
                </c:pt>
                <c:pt idx="2">
                  <c:v>2.7171960266379431E-6</c:v>
                </c:pt>
                <c:pt idx="3">
                  <c:v>8.4879914284514818E-6</c:v>
                </c:pt>
                <c:pt idx="4">
                  <c:v>1.7679946737268996E-5</c:v>
                </c:pt>
                <c:pt idx="5">
                  <c:v>3.0694327936829718E-5</c:v>
                </c:pt>
                <c:pt idx="6">
                  <c:v>4.7968847535216242E-5</c:v>
                </c:pt>
                <c:pt idx="7">
                  <c:v>6.998061212107997E-5</c:v>
                </c:pt>
                <c:pt idx="8">
                  <c:v>9.7249290991382523E-5</c:v>
                </c:pt>
                <c:pt idx="9">
                  <c:v>1.3034052140139667E-4</c:v>
                </c:pt>
                <c:pt idx="10">
                  <c:v>1.6986956700895396E-4</c:v>
                </c:pt>
                <c:pt idx="11">
                  <c:v>2.1650524716743013E-4</c:v>
                </c:pt>
                <c:pt idx="12">
                  <c:v>2.7097415586891001E-4</c:v>
                </c:pt>
                <c:pt idx="13">
                  <c:v>3.3406519035363209E-4</c:v>
                </c:pt>
                <c:pt idx="14">
                  <c:v>4.0663441068759099E-4</c:v>
                </c:pt>
                <c:pt idx="15">
                  <c:v>4.8961025297057073E-4</c:v>
                </c:pt>
                <c:pt idx="16">
                  <c:v>5.8399912027550026E-4</c:v>
                </c:pt>
                <c:pt idx="17">
                  <c:v>6.9089137694060775E-4</c:v>
                </c:pt>
                <c:pt idx="18">
                  <c:v>8.1146777344218342E-4</c:v>
                </c:pt>
                <c:pt idx="19">
                  <c:v>9.4700633077177772E-4</c:v>
                </c:pt>
                <c:pt idx="20">
                  <c:v>1.0988897150313445E-3</c:v>
                </c:pt>
                <c:pt idx="21">
                  <c:v>1.268613134847238E-3</c:v>
                </c:pt>
                <c:pt idx="22">
                  <c:v>1.4577927961932514E-3</c:v>
                </c:pt>
                <c:pt idx="23">
                  <c:v>1.6681749513081713E-3</c:v>
                </c:pt>
                <c:pt idx="24">
                  <c:v>1.9016455805988567E-3</c:v>
                </c:pt>
                <c:pt idx="25">
                  <c:v>2.16024074873984E-3</c:v>
                </c:pt>
                <c:pt idx="26">
                  <c:v>2.4461576786191023E-3</c:v>
                </c:pt>
                <c:pt idx="27">
                  <c:v>2.7617665893411667E-3</c:v>
                </c:pt>
                <c:pt idx="28">
                  <c:v>3.1096233471871021E-3</c:v>
                </c:pt>
                <c:pt idx="29">
                  <c:v>3.4924829812504696E-3</c:v>
                </c:pt>
                <c:pt idx="30">
                  <c:v>3.9133141184225203E-3</c:v>
                </c:pt>
                <c:pt idx="31">
                  <c:v>4.3753143954928736E-3</c:v>
                </c:pt>
                <c:pt idx="32">
                  <c:v>4.8819269093668466E-3</c:v>
                </c:pt>
                <c:pt idx="33">
                  <c:v>5.4368577697809835E-3</c:v>
                </c:pt>
                <c:pt idx="34">
                  <c:v>6.0440948224268634E-3</c:v>
                </c:pt>
                <c:pt idx="35">
                  <c:v>6.7079276140726909E-3</c:v>
                </c:pt>
                <c:pt idx="36">
                  <c:v>7.432968675104349E-3</c:v>
                </c:pt>
                <c:pt idx="37">
                  <c:v>8.2241761988943243E-3</c:v>
                </c:pt>
                <c:pt idx="38">
                  <c:v>9.0868782015488692E-3</c:v>
                </c:pt>
                <c:pt idx="39">
                  <c:v>1.0026798249881355E-2</c:v>
                </c:pt>
                <c:pt idx="40">
                  <c:v>1.1050082849912362E-2</c:v>
                </c:pt>
                <c:pt idx="41">
                  <c:v>1.2163330592802996E-2</c:v>
                </c:pt>
                <c:pt idx="42">
                  <c:v>1.3358420701252972E-2</c:v>
                </c:pt>
                <c:pt idx="43">
                  <c:v>1.4639938901386243E-2</c:v>
                </c:pt>
                <c:pt idx="44">
                  <c:v>1.6012695682529398E-2</c:v>
                </c:pt>
                <c:pt idx="45">
                  <c:v>1.7481736233646093E-2</c:v>
                </c:pt>
                <c:pt idx="46">
                  <c:v>1.9052350771107118E-2</c:v>
                </c:pt>
                <c:pt idx="47">
                  <c:v>2.0730085270612753E-2</c:v>
                </c:pt>
                <c:pt idx="48">
                  <c:v>2.252075261634208E-2</c:v>
                </c:pt>
                <c:pt idx="49">
                  <c:v>2.4430444180654782E-2</c:v>
                </c:pt>
                <c:pt idx="50">
                  <c:v>2.646554184791421E-2</c:v>
                </c:pt>
                <c:pt idx="51">
                  <c:v>2.8632730496234379E-2</c:v>
                </c:pt>
                <c:pt idx="52">
                  <c:v>3.0939010951176595E-2</c:v>
                </c:pt>
                <c:pt idx="53">
                  <c:v>3.3391713425632769E-2</c:v>
                </c:pt>
                <c:pt idx="54">
                  <c:v>3.5998511460329542E-2</c:v>
                </c:pt>
                <c:pt idx="55">
                  <c:v>3.8767436379569337E-2</c:v>
                </c:pt>
                <c:pt idx="56">
                  <c:v>4.1706892276988872E-2</c:v>
                </c:pt>
                <c:pt idx="57">
                  <c:v>4.4825671546261242E-2</c:v>
                </c:pt>
                <c:pt idx="58">
                  <c:v>4.8132970971791221E-2</c:v>
                </c:pt>
                <c:pt idx="59">
                  <c:v>5.1638408394554421E-2</c:v>
                </c:pt>
                <c:pt idx="60">
                  <c:v>5.5352039968305088E-2</c:v>
                </c:pt>
                <c:pt idx="61">
                  <c:v>5.9284378021423861E-2</c:v>
                </c:pt>
                <c:pt idx="62">
                  <c:v>6.3446409539691967E-2</c:v>
                </c:pt>
                <c:pt idx="63">
                  <c:v>6.7849615285259748E-2</c:v>
                </c:pt>
                <c:pt idx="64">
                  <c:v>7.2505989567022339E-2</c:v>
                </c:pt>
                <c:pt idx="65">
                  <c:v>7.7428060677520283E-2</c:v>
                </c:pt>
                <c:pt idx="66">
                  <c:v>8.2628912011344577E-2</c:v>
                </c:pt>
                <c:pt idx="67">
                  <c:v>8.8122203879841002E-2</c:v>
                </c:pt>
                <c:pt idx="68">
                  <c:v>9.3922196036673733E-2</c:v>
                </c:pt>
                <c:pt idx="69">
                  <c:v>0.10004377092851953</c:v>
                </c:pt>
                <c:pt idx="70">
                  <c:v>0.10650245768481634</c:v>
                </c:pt>
                <c:pt idx="71">
                  <c:v>0.11331445686008136</c:v>
                </c:pt>
                <c:pt idx="72">
                  <c:v>0.12049666594183797</c:v>
                </c:pt>
                <c:pt idx="73">
                  <c:v>0.1280667056366433</c:v>
                </c:pt>
                <c:pt idx="74">
                  <c:v>0.13604294694608526</c:v>
                </c:pt>
                <c:pt idx="75">
                  <c:v>0.14444453904391422</c:v>
                </c:pt>
                <c:pt idx="76">
                  <c:v>0.15329143796468236</c:v>
                </c:pt>
                <c:pt idx="77">
                  <c:v>0.16260443611338307</c:v>
                </c:pt>
                <c:pt idx="78">
                  <c:v>0.1724051926046013</c:v>
                </c:pt>
                <c:pt idx="79">
                  <c:v>0.18271626443860334</c:v>
                </c:pt>
                <c:pt idx="80">
                  <c:v>0.19356113852060117</c:v>
                </c:pt>
                <c:pt idx="81">
                  <c:v>0.20496426452811781</c:v>
                </c:pt>
                <c:pt idx="82">
                  <c:v>0.21680843984099016</c:v>
                </c:pt>
                <c:pt idx="83">
                  <c:v>0.22910432647462878</c:v>
                </c:pt>
                <c:pt idx="84">
                  <c:v>0.24186277965569497</c:v>
                </c:pt>
                <c:pt idx="85">
                  <c:v>0.2550948499913</c:v>
                </c:pt>
                <c:pt idx="86">
                  <c:v>0.26881178562229718</c:v>
                </c:pt>
                <c:pt idx="87">
                  <c:v>0.28302503435887405</c:v>
                </c:pt>
                <c:pt idx="88">
                  <c:v>0.29774624579659448</c:v>
                </c:pt>
                <c:pt idx="89">
                  <c:v>0.31298727341098215</c:v>
                </c:pt>
                <c:pt idx="90">
                  <c:v>0.32876017662867468</c:v>
                </c:pt>
                <c:pt idx="91">
                  <c:v>0.34507722287312004</c:v>
                </c:pt>
                <c:pt idx="92">
                  <c:v>0.3619508895827212</c:v>
                </c:pt>
                <c:pt idx="93">
                  <c:v>0.37939386619927534</c:v>
                </c:pt>
                <c:pt idx="94">
                  <c:v>0.39741905612448941</c:v>
                </c:pt>
                <c:pt idx="95">
                  <c:v>0.41603957864228802</c:v>
                </c:pt>
                <c:pt idx="96">
                  <c:v>0.4352687708045675</c:v>
                </c:pt>
                <c:pt idx="97">
                  <c:v>0.45512018927798087</c:v>
                </c:pt>
                <c:pt idx="98">
                  <c:v>0.47560761214927327</c:v>
                </c:pt>
                <c:pt idx="99">
                  <c:v>0.49674504068662056</c:v>
                </c:pt>
                <c:pt idx="100">
                  <c:v>0.51854670105435452</c:v>
                </c:pt>
                <c:pt idx="101">
                  <c:v>0.54102704597838924</c:v>
                </c:pt>
                <c:pt idx="102">
                  <c:v>0.56420075635959599</c:v>
                </c:pt>
                <c:pt idx="103">
                  <c:v>0.58808274283230089</c:v>
                </c:pt>
                <c:pt idx="104">
                  <c:v>0.61268814726501208</c:v>
                </c:pt>
                <c:pt idx="105">
                  <c:v>0.63803234420041088</c:v>
                </c:pt>
                <c:pt idx="106">
                  <c:v>0.66413094223157065</c:v>
                </c:pt>
                <c:pt idx="107">
                  <c:v>0.69099978531129413</c:v>
                </c:pt>
                <c:pt idx="108">
                  <c:v>0.7186549539913919</c:v>
                </c:pt>
                <c:pt idx="109">
                  <c:v>0.74711276658864667</c:v>
                </c:pt>
                <c:pt idx="110">
                  <c:v>0.77638978027414163</c:v>
                </c:pt>
                <c:pt idx="111">
                  <c:v>0.80650279208255549</c:v>
                </c:pt>
                <c:pt idx="112">
                  <c:v>0.83746883983795473</c:v>
                </c:pt>
                <c:pt idx="113">
                  <c:v>0.86930520299254221</c:v>
                </c:pt>
                <c:pt idx="114">
                  <c:v>0.90202940337474846</c:v>
                </c:pt>
                <c:pt idx="115">
                  <c:v>0.93565920584298023</c:v>
                </c:pt>
                <c:pt idx="116">
                  <c:v>0.97021261884126886</c:v>
                </c:pt>
                <c:pt idx="117">
                  <c:v>1.0057078948529909</c:v>
                </c:pt>
                <c:pt idx="118">
                  <c:v>1.0421635307487604</c:v>
                </c:pt>
                <c:pt idx="119">
                  <c:v>1.0795982680245253</c:v>
                </c:pt>
                <c:pt idx="120">
                  <c:v>1.1180310929258259</c:v>
                </c:pt>
                <c:pt idx="121">
                  <c:v>1.1574812364541129</c:v>
                </c:pt>
                <c:pt idx="122">
                  <c:v>1.1980942690034304</c:v>
                </c:pt>
                <c:pt idx="123">
                  <c:v>1.2398608719302682</c:v>
                </c:pt>
                <c:pt idx="124">
                  <c:v>1.282771782916406</c:v>
                </c:pt>
                <c:pt idx="125">
                  <c:v>1.3268177956568699</c:v>
                </c:pt>
                <c:pt idx="126">
                  <c:v>1.3719897595495558</c:v>
                </c:pt>
                <c:pt idx="127">
                  <c:v>1.418278579386518</c:v>
                </c:pt>
                <c:pt idx="128">
                  <c:v>1.4656752150469086</c:v>
                </c:pt>
                <c:pt idx="129">
                  <c:v>1.5141706811915614</c:v>
                </c:pt>
                <c:pt idx="130">
                  <c:v>1.5637560469592118</c:v>
                </c:pt>
                <c:pt idx="131">
                  <c:v>1.6144224356643431</c:v>
                </c:pt>
                <c:pt idx="132">
                  <c:v>1.6661610244966512</c:v>
                </c:pt>
                <c:pt idx="133">
                  <c:v>1.7189630442221187</c:v>
                </c:pt>
                <c:pt idx="134">
                  <c:v>1.772819778885691</c:v>
                </c:pt>
                <c:pt idx="135">
                  <c:v>1.8277225655155442</c:v>
                </c:pt>
                <c:pt idx="136">
                  <c:v>1.8836627938289383</c:v>
                </c:pt>
                <c:pt idx="137">
                  <c:v>1.940631905939646</c:v>
                </c:pt>
                <c:pt idx="138">
                  <c:v>1.9986213960669486</c:v>
                </c:pt>
                <c:pt idx="139">
                  <c:v>2.0576228102461922</c:v>
                </c:pt>
                <c:pt idx="140">
                  <c:v>2.1176277460408959</c:v>
                </c:pt>
                <c:pt idx="141">
                  <c:v>2.1786278522564002</c:v>
                </c:pt>
                <c:pt idx="142">
                  <c:v>2.2406148286550529</c:v>
                </c:pt>
                <c:pt idx="143">
                  <c:v>2.3035804256729207</c:v>
                </c:pt>
                <c:pt idx="144">
                  <c:v>2.3675164441380194</c:v>
                </c:pt>
                <c:pt idx="145">
                  <c:v>2.432414734990056</c:v>
                </c:pt>
                <c:pt idx="146">
                  <c:v>2.4982671990016718</c:v>
                </c:pt>
                <c:pt idx="147">
                  <c:v>2.5650657865011808</c:v>
                </c:pt>
                <c:pt idx="148">
                  <c:v>2.6328024970967956</c:v>
                </c:pt>
                <c:pt idx="149">
                  <c:v>2.7014693794023326</c:v>
                </c:pt>
                <c:pt idx="150">
                  <c:v>2.7710585307643862</c:v>
                </c:pt>
                <c:pt idx="151">
                  <c:v>2.8415620969909701</c:v>
                </c:pt>
                <c:pt idx="152">
                  <c:v>2.9129722720816105</c:v>
                </c:pt>
                <c:pt idx="153">
                  <c:v>2.9852812979588905</c:v>
                </c:pt>
                <c:pt idx="154">
                  <c:v>3.0584814642014329</c:v>
                </c:pt>
                <c:pt idx="155">
                  <c:v>3.1325651077783165</c:v>
                </c:pt>
                <c:pt idx="156">
                  <c:v>3.2075246127849182</c:v>
                </c:pt>
                <c:pt idx="157">
                  <c:v>3.2833524101801714</c:v>
                </c:pt>
                <c:pt idx="158">
                  <c:v>3.3600409775252364</c:v>
                </c:pt>
                <c:pt idx="159">
                  <c:v>3.4375828387235714</c:v>
                </c:pt>
                <c:pt idx="160">
                  <c:v>3.515970563762401</c:v>
                </c:pt>
                <c:pt idx="161">
                  <c:v>3.5951967684555717</c:v>
                </c:pt>
                <c:pt idx="162">
                  <c:v>3.6752541141877879</c:v>
                </c:pt>
                <c:pt idx="163">
                  <c:v>3.7561353076602222</c:v>
                </c:pt>
                <c:pt idx="164">
                  <c:v>3.8378331006374902</c:v>
                </c:pt>
                <c:pt idx="165">
                  <c:v>3.9203402896959849</c:v>
                </c:pt>
                <c:pt idx="166">
                  <c:v>4.0036497159735651</c:v>
                </c:pt>
                <c:pt idx="167">
                  <c:v>4.0877542649205836</c:v>
                </c:pt>
                <c:pt idx="168">
                  <c:v>4.1726468660522578</c:v>
                </c:pt>
                <c:pt idx="169">
                  <c:v>4.2583204927023681</c:v>
                </c:pt>
                <c:pt idx="170">
                  <c:v>4.344768161778279</c:v>
                </c:pt>
                <c:pt idx="171">
                  <c:v>4.4319829335172782</c:v>
                </c:pt>
                <c:pt idx="172">
                  <c:v>4.5199579112442265</c:v>
                </c:pt>
                <c:pt idx="173">
                  <c:v>4.6086862411305054</c:v>
                </c:pt>
                <c:pt idx="174">
                  <c:v>4.6981611119542652</c:v>
                </c:pt>
                <c:pt idx="175">
                  <c:v>4.7883757548619599</c:v>
                </c:pt>
                <c:pt idx="176">
                  <c:v>4.8793234431311632</c:v>
                </c:pt>
                <c:pt idx="177">
                  <c:v>4.9709974919346616</c:v>
                </c:pt>
                <c:pt idx="178">
                  <c:v>5.0633912581058151</c:v>
                </c:pt>
                <c:pt idx="179">
                  <c:v>5.1564981399051781</c:v>
                </c:pt>
                <c:pt idx="180">
                  <c:v>5.2503115767883797</c:v>
                </c:pt>
                <c:pt idx="181">
                  <c:v>5.3448250491752463</c:v>
                </c:pt>
                <c:pt idx="182">
                  <c:v>5.4400320782201712</c:v>
                </c:pt>
                <c:pt idx="183">
                  <c:v>5.5359262255837187</c:v>
                </c:pt>
                <c:pt idx="184">
                  <c:v>5.6325010932054544</c:v>
                </c:pt>
                <c:pt idx="185">
                  <c:v>5.7297503230779991</c:v>
                </c:pt>
                <c:pt idx="186">
                  <c:v>5.8276675970223</c:v>
                </c:pt>
                <c:pt idx="187">
                  <c:v>5.926246636464108</c:v>
                </c:pt>
                <c:pt idx="188">
                  <c:v>6.0254812022116617</c:v>
                </c:pt>
                <c:pt idx="189">
                  <c:v>6.1253650942345672</c:v>
                </c:pt>
                <c:pt idx="190">
                  <c:v>6.2258921514438645</c:v>
                </c:pt>
                <c:pt idx="191">
                  <c:v>6.327056251473282</c:v>
                </c:pt>
                <c:pt idx="192">
                  <c:v>6.4288513104616687</c:v>
                </c:pt>
                <c:pt idx="193">
                  <c:v>6.5312712828365944</c:v>
                </c:pt>
                <c:pt idx="194">
                  <c:v>6.6343101610991191</c:v>
                </c:pt>
                <c:pt idx="195">
                  <c:v>6.7379619756097178</c:v>
                </c:pt>
                <c:pt idx="196">
                  <c:v>6.8422207943753639</c:v>
                </c:pt>
                <c:pt idx="197">
                  <c:v>6.9470807228377529</c:v>
                </c:pt>
                <c:pt idx="198">
                  <c:v>7.0525359036626716</c:v>
                </c:pt>
                <c:pt idx="199">
                  <c:v>7.1585805165304999</c:v>
                </c:pt>
                <c:pt idx="200">
                  <c:v>7.2652087779278425</c:v>
                </c:pt>
                <c:pt idx="201">
                  <c:v>7.3724149409402822</c:v>
                </c:pt>
                <c:pt idx="202">
                  <c:v>7.4801932950462531</c:v>
                </c:pt>
                <c:pt idx="203">
                  <c:v>7.5885381659120208</c:v>
                </c:pt>
                <c:pt idx="204">
                  <c:v>7.6974439151877707</c:v>
                </c:pt>
                <c:pt idx="205">
                  <c:v>7.8069049403047925</c:v>
                </c:pt>
                <c:pt idx="206">
                  <c:v>7.9169156742737625</c:v>
                </c:pt>
                <c:pt idx="207">
                  <c:v>8.0274705854841102</c:v>
                </c:pt>
                <c:pt idx="208">
                  <c:v>8.1385641775044668</c:v>
                </c:pt>
                <c:pt idx="209">
                  <c:v>8.250190988884194</c:v>
                </c:pt>
                <c:pt idx="210">
                  <c:v>8.3623455929559753</c:v>
                </c:pt>
                <c:pt idx="211">
                  <c:v>8.4750225976394802</c:v>
                </c:pt>
                <c:pt idx="212">
                  <c:v>8.5882166452460869</c:v>
                </c:pt>
                <c:pt idx="213">
                  <c:v>8.7019224122846488</c:v>
                </c:pt>
                <c:pt idx="214">
                  <c:v>8.8161346092683246</c:v>
                </c:pt>
                <c:pt idx="215">
                  <c:v>8.9308479805224348</c:v>
                </c:pt>
                <c:pt idx="216">
                  <c:v>9.0460573039933703</c:v>
                </c:pt>
                <c:pt idx="217">
                  <c:v>9.1617573910585168</c:v>
                </c:pt>
                <c:pt idx="218">
                  <c:v>9.2779430863372223</c:v>
                </c:pt>
                <c:pt idx="219">
                  <c:v>9.394609267502771</c:v>
                </c:pt>
                <c:pt idx="220">
                  <c:v>9.5117508450953761</c:v>
                </c:pt>
                <c:pt idx="221">
                  <c:v>9.6293627623361893</c:v>
                </c:pt>
                <c:pt idx="222">
                  <c:v>9.7474399949423045</c:v>
                </c:pt>
                <c:pt idx="223">
                  <c:v>9.8659775509427696</c:v>
                </c:pt>
                <c:pt idx="224">
                  <c:v>9.9849704704955844</c:v>
                </c:pt>
                <c:pt idx="225">
                  <c:v>10.104413825705691</c:v>
                </c:pt>
                <c:pt idx="226">
                  <c:v>10.224302720443951</c:v>
                </c:pt>
                <c:pt idx="227">
                  <c:v>10.344632290167093</c:v>
                </c:pt>
                <c:pt idx="228">
                  <c:v>10.465397701738636</c:v>
                </c:pt>
                <c:pt idx="229">
                  <c:v>10.58659415325079</c:v>
                </c:pt>
                <c:pt idx="230">
                  <c:v>10.708216873847299</c:v>
                </c:pt>
                <c:pt idx="231">
                  <c:v>10.830261123547261</c:v>
                </c:pt>
                <c:pt idx="232">
                  <c:v>10.952722193069896</c:v>
                </c:pt>
                <c:pt idx="233">
                  <c:v>11.075595403660245</c:v>
                </c:pt>
                <c:pt idx="234">
                  <c:v>11.19887610691584</c:v>
                </c:pt>
                <c:pt idx="235">
                  <c:v>11.322559684614289</c:v>
                </c:pt>
                <c:pt idx="236">
                  <c:v>11.446641548541798</c:v>
                </c:pt>
                <c:pt idx="237">
                  <c:v>11.571117140322631</c:v>
                </c:pt>
                <c:pt idx="238">
                  <c:v>11.695981931249477</c:v>
                </c:pt>
                <c:pt idx="239">
                  <c:v>11.821231422114748</c:v>
                </c:pt>
                <c:pt idx="240">
                  <c:v>11.94686114304278</c:v>
                </c:pt>
                <c:pt idx="241">
                  <c:v>12.072866653322951</c:v>
                </c:pt>
                <c:pt idx="242">
                  <c:v>12.199839017243695</c:v>
                </c:pt>
                <c:pt idx="243">
                  <c:v>12.327769330775887</c:v>
                </c:pt>
                <c:pt idx="244">
                  <c:v>12.456648745499697</c:v>
                </c:pt>
                <c:pt idx="245">
                  <c:v>12.586468468292841</c:v>
                </c:pt>
                <c:pt idx="246">
                  <c:v>12.717219761020504</c:v>
                </c:pt>
                <c:pt idx="247">
                  <c:v>12.848893940226931</c:v>
                </c:pt>
                <c:pt idx="248">
                  <c:v>12.981482376828684</c:v>
                </c:pt>
                <c:pt idx="249">
                  <c:v>13.114976495809538</c:v>
                </c:pt>
                <c:pt idx="250">
                  <c:v>13.249367775917033</c:v>
                </c:pt>
                <c:pt idx="251">
                  <c:v>13.384647749360649</c:v>
                </c:pt>
                <c:pt idx="252">
                  <c:v>13.520808001511609</c:v>
                </c:pt>
                <c:pt idx="253">
                  <c:v>13.657840170604297</c:v>
                </c:pt>
                <c:pt idx="254">
                  <c:v>13.795735947439283</c:v>
                </c:pt>
                <c:pt idx="255">
                  <c:v>13.934487075087953</c:v>
                </c:pt>
                <c:pt idx="256">
                  <c:v>14.07408534859872</c:v>
                </c:pt>
                <c:pt idx="257">
                  <c:v>14.214522614704826</c:v>
                </c:pt>
                <c:pt idx="258">
                  <c:v>14.355790771533707</c:v>
                </c:pt>
                <c:pt idx="259">
                  <c:v>14.497881768317939</c:v>
                </c:pt>
                <c:pt idx="260">
                  <c:v>14.640787605107722</c:v>
                </c:pt>
                <c:pt idx="261">
                  <c:v>14.784500332484932</c:v>
                </c:pt>
                <c:pt idx="262">
                  <c:v>14.929012051278697</c:v>
                </c:pt>
                <c:pt idx="263">
                  <c:v>15.074314912282521</c:v>
                </c:pt>
                <c:pt idx="264">
                  <c:v>15.220401115972919</c:v>
                </c:pt>
                <c:pt idx="265">
                  <c:v>15.367262912229574</c:v>
                </c:pt>
                <c:pt idx="266">
                  <c:v>15.514892600057006</c:v>
                </c:pt>
                <c:pt idx="267">
                  <c:v>15.663282527307736</c:v>
                </c:pt>
                <c:pt idx="268">
                  <c:v>15.81242509040694</c:v>
                </c:pt>
                <c:pt idx="269">
                  <c:v>15.962312734078601</c:v>
                </c:pt>
                <c:pt idx="270">
                  <c:v>16.112937951073118</c:v>
                </c:pt>
                <c:pt idx="271">
                  <c:v>16.264293281896403</c:v>
                </c:pt>
                <c:pt idx="272">
                  <c:v>16.416371314540427</c:v>
                </c:pt>
                <c:pt idx="273">
                  <c:v>16.56916468421522</c:v>
                </c:pt>
                <c:pt idx="274">
                  <c:v>16.722666073082323</c:v>
                </c:pt>
                <c:pt idx="275">
                  <c:v>16.87686820998967</c:v>
                </c:pt>
                <c:pt idx="276">
                  <c:v>17.031763870207911</c:v>
                </c:pt>
                <c:pt idx="277">
                  <c:v>17.187345875168148</c:v>
                </c:pt>
                <c:pt idx="278">
                  <c:v>17.343607092201093</c:v>
                </c:pt>
                <c:pt idx="279">
                  <c:v>17.500540434277625</c:v>
                </c:pt>
                <c:pt idx="280">
                  <c:v>17.658138859750757</c:v>
                </c:pt>
                <c:pt idx="281">
                  <c:v>17.816395372098992</c:v>
                </c:pt>
                <c:pt idx="282">
                  <c:v>17.975303019671063</c:v>
                </c:pt>
                <c:pt idx="283">
                  <c:v>18.134854895432056</c:v>
                </c:pt>
                <c:pt idx="284">
                  <c:v>18.295044136710896</c:v>
                </c:pt>
                <c:pt idx="285">
                  <c:v>18.45586392494921</c:v>
                </c:pt>
                <c:pt idx="286">
                  <c:v>18.617307485451523</c:v>
                </c:pt>
                <c:pt idx="287">
                  <c:v>18.779368087136834</c:v>
                </c:pt>
                <c:pt idx="288">
                  <c:v>18.942039042291515</c:v>
                </c:pt>
                <c:pt idx="289">
                  <c:v>19.105313706323535</c:v>
                </c:pt>
                <c:pt idx="290">
                  <c:v>19.269185477518043</c:v>
                </c:pt>
                <c:pt idx="291">
                  <c:v>19.433647796794244</c:v>
                </c:pt>
                <c:pt idx="292">
                  <c:v>19.598694147463604</c:v>
                </c:pt>
                <c:pt idx="293">
                  <c:v>19.764318054989353</c:v>
                </c:pt>
                <c:pt idx="294">
                  <c:v>19.93051308674729</c:v>
                </c:pt>
                <c:pt idx="295">
                  <c:v>20.097272851787896</c:v>
                </c:pt>
                <c:pt idx="296">
                  <c:v>20.264591000599705</c:v>
                </c:pt>
                <c:pt idx="297">
                  <c:v>20.432461224873979</c:v>
                </c:pt>
                <c:pt idx="298">
                  <c:v>20.600877257270646</c:v>
                </c:pt>
                <c:pt idx="299">
                  <c:v>20.7698328711855</c:v>
                </c:pt>
                <c:pt idx="300">
                  <c:v>20.939321880518669</c:v>
                </c:pt>
                <c:pt idx="301">
                  <c:v>21.109338139444336</c:v>
                </c:pt>
                <c:pt idx="302">
                  <c:v>21.279875542181692</c:v>
                </c:pt>
                <c:pt idx="303">
                  <c:v>21.45092802276714</c:v>
                </c:pt>
                <c:pt idx="304">
                  <c:v>21.622489554827737</c:v>
                </c:pt>
                <c:pt idx="305">
                  <c:v>21.794554151355843</c:v>
                </c:pt>
                <c:pt idx="306">
                  <c:v>21.967115864485017</c:v>
                </c:pt>
                <c:pt idx="307">
                  <c:v>22.140168785267093</c:v>
                </c:pt>
                <c:pt idx="308">
                  <c:v>22.313707043450496</c:v>
                </c:pt>
                <c:pt idx="309">
                  <c:v>22.487724807259731</c:v>
                </c:pt>
                <c:pt idx="310">
                  <c:v>22.662216283176093</c:v>
                </c:pt>
                <c:pt idx="311">
                  <c:v>22.837175715719532</c:v>
                </c:pt>
                <c:pt idx="312">
                  <c:v>23.012597387231729</c:v>
                </c:pt>
                <c:pt idx="313">
                  <c:v>23.188475617660334</c:v>
                </c:pt>
                <c:pt idx="314">
                  <c:v>23.364804764344374</c:v>
                </c:pt>
                <c:pt idx="315">
                  <c:v>23.54157922180082</c:v>
                </c:pt>
                <c:pt idx="316">
                  <c:v>23.718793421512324</c:v>
                </c:pt>
                <c:pt idx="317">
                  <c:v>23.896441831716089</c:v>
                </c:pt>
                <c:pt idx="318">
                  <c:v>24.074518957193892</c:v>
                </c:pt>
                <c:pt idx="319">
                  <c:v>24.25301933906325</c:v>
                </c:pt>
                <c:pt idx="320">
                  <c:v>24.431937554569714</c:v>
                </c:pt>
                <c:pt idx="321">
                  <c:v>24.61126821688028</c:v>
                </c:pt>
                <c:pt idx="322">
                  <c:v>24.791005974877933</c:v>
                </c:pt>
                <c:pt idx="323">
                  <c:v>24.971145512957307</c:v>
                </c:pt>
                <c:pt idx="324">
                  <c:v>25.15168155082144</c:v>
                </c:pt>
                <c:pt idx="325">
                  <c:v>25.332608843279644</c:v>
                </c:pt>
                <c:pt idx="326">
                  <c:v>25.51392218004646</c:v>
                </c:pt>
                <c:pt idx="327">
                  <c:v>25.695616385541715</c:v>
                </c:pt>
                <c:pt idx="328">
                  <c:v>25.877686318691662</c:v>
                </c:pt>
                <c:pt idx="329">
                  <c:v>26.060126872731196</c:v>
                </c:pt>
                <c:pt idx="330">
                  <c:v>26.242932975007136</c:v>
                </c:pt>
                <c:pt idx="331">
                  <c:v>26.426099586782595</c:v>
                </c:pt>
                <c:pt idx="332">
                  <c:v>26.609621703042393</c:v>
                </c:pt>
                <c:pt idx="333">
                  <c:v>26.79349435229954</c:v>
                </c:pt>
                <c:pt idx="334">
                  <c:v>26.97771259640276</c:v>
                </c:pt>
                <c:pt idx="335">
                  <c:v>27.162271530345066</c:v>
                </c:pt>
                <c:pt idx="336">
                  <c:v>27.347166282073371</c:v>
                </c:pt>
                <c:pt idx="337">
                  <c:v>27.532392012299141</c:v>
                </c:pt>
                <c:pt idx="338">
                  <c:v>27.717943914310069</c:v>
                </c:pt>
                <c:pt idx="339">
                  <c:v>27.903817213782773</c:v>
                </c:pt>
                <c:pt idx="340">
                  <c:v>28.090007168596514</c:v>
                </c:pt>
                <c:pt idx="341">
                  <c:v>28.276509068647933</c:v>
                </c:pt>
                <c:pt idx="342">
                  <c:v>28.463913711666777</c:v>
                </c:pt>
                <c:pt idx="343">
                  <c:v>28.652211929881123</c:v>
                </c:pt>
                <c:pt idx="344">
                  <c:v>28.841394613926148</c:v>
                </c:pt>
                <c:pt idx="345">
                  <c:v>29.031452712514412</c:v>
                </c:pt>
                <c:pt idx="346">
                  <c:v>29.222377232107913</c:v>
                </c:pt>
                <c:pt idx="347">
                  <c:v>29.414159236591914</c:v>
                </c:pt>
                <c:pt idx="348">
                  <c:v>29.606789846950523</c:v>
                </c:pt>
                <c:pt idx="349">
                  <c:v>29.800260240944034</c:v>
                </c:pt>
                <c:pt idx="350">
                  <c:v>29.994561652788004</c:v>
                </c:pt>
                <c:pt idx="351">
                  <c:v>30.189685372834067</c:v>
                </c:pt>
                <c:pt idx="352">
                  <c:v>30.385622747252455</c:v>
                </c:pt>
                <c:pt idx="353">
                  <c:v>30.582365177716259</c:v>
                </c:pt>
                <c:pt idx="354">
                  <c:v>30.77990412108737</c:v>
                </c:pt>
                <c:pt idx="355">
                  <c:v>30.978231089104131</c:v>
                </c:pt>
                <c:pt idx="356">
                  <c:v>31.177337648070676</c:v>
                </c:pt>
                <c:pt idx="357">
                  <c:v>31.37721541854793</c:v>
                </c:pt>
                <c:pt idx="358">
                  <c:v>31.577856075046309</c:v>
                </c:pt>
                <c:pt idx="359">
                  <c:v>31.779251345720045</c:v>
                </c:pt>
                <c:pt idx="360">
                  <c:v>31.98139301206319</c:v>
                </c:pt>
                <c:pt idx="361">
                  <c:v>32.184272908607241</c:v>
                </c:pt>
                <c:pt idx="362">
                  <c:v>32.380873883070848</c:v>
                </c:pt>
                <c:pt idx="363">
                  <c:v>32.571347016300074</c:v>
                </c:pt>
                <c:pt idx="364">
                  <c:v>32.755842901416635</c:v>
                </c:pt>
                <c:pt idx="365">
                  <c:v>32.934511322490792</c:v>
                </c:pt>
                <c:pt idx="366">
                  <c:v>33.10750097035185</c:v>
                </c:pt>
                <c:pt idx="367">
                  <c:v>33.274959192054631</c:v>
                </c:pt>
                <c:pt idx="368">
                  <c:v>33.437031770841408</c:v>
                </c:pt>
                <c:pt idx="369">
                  <c:v>33.593862733729623</c:v>
                </c:pt>
                <c:pt idx="370">
                  <c:v>33.745594184118445</c:v>
                </c:pt>
                <c:pt idx="371">
                  <c:v>33.892366157045764</c:v>
                </c:pt>
                <c:pt idx="372">
                  <c:v>34.034316494942772</c:v>
                </c:pt>
                <c:pt idx="373">
                  <c:v>34.171580741929084</c:v>
                </c:pt>
                <c:pt idx="374">
                  <c:v>34.304292054868696</c:v>
                </c:pt>
                <c:pt idx="375">
                  <c:v>34.432581129568121</c:v>
                </c:pt>
                <c:pt idx="376">
                  <c:v>34.556576140643962</c:v>
                </c:pt>
                <c:pt idx="377">
                  <c:v>34.676402693720156</c:v>
                </c:pt>
                <c:pt idx="378">
                  <c:v>34.792183788735315</c:v>
                </c:pt>
                <c:pt idx="379">
                  <c:v>34.904039793250398</c:v>
                </c:pt>
                <c:pt idx="380">
                  <c:v>35.012088424746409</c:v>
                </c:pt>
                <c:pt idx="381">
                  <c:v>35.116444740992357</c:v>
                </c:pt>
                <c:pt idx="382">
                  <c:v>35.217221137646291</c:v>
                </c:pt>
                <c:pt idx="383">
                  <c:v>35.31452735232709</c:v>
                </c:pt>
                <c:pt idx="384">
                  <c:v>35.40847047446303</c:v>
                </c:pt>
                <c:pt idx="385">
                  <c:v>35.499154960285487</c:v>
                </c:pt>
                <c:pt idx="386">
                  <c:v>35.586682652392668</c:v>
                </c:pt>
                <c:pt idx="387">
                  <c:v>35.671152803360016</c:v>
                </c:pt>
                <c:pt idx="388">
                  <c:v>35.7526621029211</c:v>
                </c:pt>
                <c:pt idx="389">
                  <c:v>35.83130470828565</c:v>
                </c:pt>
                <c:pt idx="390">
                  <c:v>35.907172277200736</c:v>
                </c:pt>
                <c:pt idx="391">
                  <c:v>35.980354003396741</c:v>
                </c:pt>
                <c:pt idx="392">
                  <c:v>36.050936654092524</c:v>
                </c:pt>
                <c:pt idx="393">
                  <c:v>36.119004609263939</c:v>
                </c:pt>
                <c:pt idx="394">
                  <c:v>36.184639902407092</c:v>
                </c:pt>
                <c:pt idx="395">
                  <c:v>36.247922262552628</c:v>
                </c:pt>
                <c:pt idx="396">
                  <c:v>36.308929157310004</c:v>
                </c:pt>
                <c:pt idx="397">
                  <c:v>36.367735836741502</c:v>
                </c:pt>
                <c:pt idx="398">
                  <c:v>36.424415377884678</c:v>
                </c:pt>
                <c:pt idx="399">
                  <c:v>36.47903872975931</c:v>
                </c:pt>
                <c:pt idx="400">
                  <c:v>36.531674758710729</c:v>
                </c:pt>
                <c:pt idx="401">
                  <c:v>36.582390293955918</c:v>
                </c:pt>
                <c:pt idx="402">
                  <c:v>36.632612042445274</c:v>
                </c:pt>
                <c:pt idx="403">
                  <c:v>36.682342039290113</c:v>
                </c:pt>
                <c:pt idx="404">
                  <c:v>36.731582400173934</c:v>
                </c:pt>
                <c:pt idx="405">
                  <c:v>36.780335317657659</c:v>
                </c:pt>
                <c:pt idx="406">
                  <c:v>36.828603057602457</c:v>
                </c:pt>
                <c:pt idx="407">
                  <c:v>36.876387955706747</c:v>
                </c:pt>
                <c:pt idx="408">
                  <c:v>36.923692414153848</c:v>
                </c:pt>
                <c:pt idx="409">
                  <c:v>36.970518898367096</c:v>
                </c:pt>
                <c:pt idx="410">
                  <c:v>37.016869933869138</c:v>
                </c:pt>
                <c:pt idx="411">
                  <c:v>37.06274810324232</c:v>
                </c:pt>
                <c:pt idx="412">
                  <c:v>37.108156043187201</c:v>
                </c:pt>
                <c:pt idx="413">
                  <c:v>37.153096441676205</c:v>
                </c:pt>
                <c:pt idx="414">
                  <c:v>37.197572035199649</c:v>
                </c:pt>
                <c:pt idx="415">
                  <c:v>37.24158560610131</c:v>
                </c:pt>
                <c:pt idx="416">
                  <c:v>37.285139980000991</c:v>
                </c:pt>
                <c:pt idx="417">
                  <c:v>37.32823802330136</c:v>
                </c:pt>
                <c:pt idx="418">
                  <c:v>37.370882640776692</c:v>
                </c:pt>
                <c:pt idx="419">
                  <c:v>37.413076773240959</c:v>
                </c:pt>
                <c:pt idx="420">
                  <c:v>37.454823395293012</c:v>
                </c:pt>
                <c:pt idx="421">
                  <c:v>37.496125513136505</c:v>
                </c:pt>
                <c:pt idx="422">
                  <c:v>37.536986162472346</c:v>
                </c:pt>
                <c:pt idx="423">
                  <c:v>37.577408406461544</c:v>
                </c:pt>
                <c:pt idx="424">
                  <c:v>37.617395333756349</c:v>
                </c:pt>
                <c:pt idx="425">
                  <c:v>37.656950056597665</c:v>
                </c:pt>
                <c:pt idx="426">
                  <c:v>37.696075708976736</c:v>
                </c:pt>
                <c:pt idx="427">
                  <c:v>37.734775444859238</c:v>
                </c:pt>
                <c:pt idx="428">
                  <c:v>37.773052436469904</c:v>
                </c:pt>
                <c:pt idx="429">
                  <c:v>37.810909872635889</c:v>
                </c:pt>
                <c:pt idx="430">
                  <c:v>37.848350957187094</c:v>
                </c:pt>
                <c:pt idx="431">
                  <c:v>37.885378907411834</c:v>
                </c:pt>
                <c:pt idx="432">
                  <c:v>37.921996952566118</c:v>
                </c:pt>
                <c:pt idx="433">
                  <c:v>37.958208332434999</c:v>
                </c:pt>
                <c:pt idx="434">
                  <c:v>37.994016295944434</c:v>
                </c:pt>
                <c:pt idx="435">
                  <c:v>38.029424099822137</c:v>
                </c:pt>
                <c:pt idx="436">
                  <c:v>38.064435007305981</c:v>
                </c:pt>
                <c:pt idx="437">
                  <c:v>38.099052286898527</c:v>
                </c:pt>
                <c:pt idx="438">
                  <c:v>38.133279211166297</c:v>
                </c:pt>
                <c:pt idx="439">
                  <c:v>38.167119055582461</c:v>
                </c:pt>
                <c:pt idx="440">
                  <c:v>38.200575097411672</c:v>
                </c:pt>
                <c:pt idx="441">
                  <c:v>38.233650614635707</c:v>
                </c:pt>
                <c:pt idx="442">
                  <c:v>38.266348884918777</c:v>
                </c:pt>
                <c:pt idx="443">
                  <c:v>38.29867318461131</c:v>
                </c:pt>
                <c:pt idx="444">
                  <c:v>38.330626787790983</c:v>
                </c:pt>
                <c:pt idx="445">
                  <c:v>38.362212965339978</c:v>
                </c:pt>
                <c:pt idx="446">
                  <c:v>38.393434984057308</c:v>
                </c:pt>
                <c:pt idx="447">
                  <c:v>38.424296105805183</c:v>
                </c:pt>
                <c:pt idx="448">
                  <c:v>38.454799586688416</c:v>
                </c:pt>
                <c:pt idx="449">
                  <c:v>38.484948676265816</c:v>
                </c:pt>
                <c:pt idx="450">
                  <c:v>38.514746616792664</c:v>
                </c:pt>
                <c:pt idx="451">
                  <c:v>38.544196642493283</c:v>
                </c:pt>
                <c:pt idx="452">
                  <c:v>38.573301978862837</c:v>
                </c:pt>
                <c:pt idx="453">
                  <c:v>38.602065841997444</c:v>
                </c:pt>
                <c:pt idx="454">
                  <c:v>38.630491437951726</c:v>
                </c:pt>
                <c:pt idx="455">
                  <c:v>38.658581962123037</c:v>
                </c:pt>
                <c:pt idx="456">
                  <c:v>38.686340598661474</c:v>
                </c:pt>
                <c:pt idx="457">
                  <c:v>38.713770519904905</c:v>
                </c:pt>
                <c:pt idx="458">
                  <c:v>38.740874885838323</c:v>
                </c:pt>
                <c:pt idx="459">
                  <c:v>38.767656843576653</c:v>
                </c:pt>
                <c:pt idx="460">
                  <c:v>38.794119526870418</c:v>
                </c:pt>
                <c:pt idx="461">
                  <c:v>38.820266055633468</c:v>
                </c:pt>
                <c:pt idx="462">
                  <c:v>38.846099535492151</c:v>
                </c:pt>
                <c:pt idx="463">
                  <c:v>38.871623057355251</c:v>
                </c:pt>
                <c:pt idx="464">
                  <c:v>38.896839697004019</c:v>
                </c:pt>
                <c:pt idx="465">
                  <c:v>38.921752514701723</c:v>
                </c:pt>
                <c:pt idx="466">
                  <c:v>38.94636455482209</c:v>
                </c:pt>
                <c:pt idx="467">
                  <c:v>38.970678845496025</c:v>
                </c:pt>
                <c:pt idx="468">
                  <c:v>38.994698398276086</c:v>
                </c:pt>
                <c:pt idx="469">
                  <c:v>39.018426207818109</c:v>
                </c:pt>
                <c:pt idx="470">
                  <c:v>39.041865251579502</c:v>
                </c:pt>
                <c:pt idx="471">
                  <c:v>39.065018489533607</c:v>
                </c:pt>
                <c:pt idx="472">
                  <c:v>39.087888863899714</c:v>
                </c:pt>
                <c:pt idx="473">
                  <c:v>39.110479298888144</c:v>
                </c:pt>
                <c:pt idx="474">
                  <c:v>39.132792700459966</c:v>
                </c:pt>
                <c:pt idx="475">
                  <c:v>39.1548319561009</c:v>
                </c:pt>
                <c:pt idx="476">
                  <c:v>39.176599934608909</c:v>
                </c:pt>
                <c:pt idx="477">
                  <c:v>39.198099485895057</c:v>
                </c:pt>
                <c:pt idx="478">
                  <c:v>39.219333440797215</c:v>
                </c:pt>
                <c:pt idx="479">
                  <c:v>39.240304610906186</c:v>
                </c:pt>
                <c:pt idx="480">
                  <c:v>39.261015788403881</c:v>
                </c:pt>
                <c:pt idx="481">
                  <c:v>39.281469745913071</c:v>
                </c:pt>
                <c:pt idx="482">
                  <c:v>39.301134303346203</c:v>
                </c:pt>
                <c:pt idx="483">
                  <c:v>39.320037664955322</c:v>
                </c:pt>
                <c:pt idx="484">
                  <c:v>39.33820713849353</c:v>
                </c:pt>
                <c:pt idx="485">
                  <c:v>39.355669157603359</c:v>
                </c:pt>
                <c:pt idx="486">
                  <c:v>39.372449304045027</c:v>
                </c:pt>
                <c:pt idx="487">
                  <c:v>39.388572329730955</c:v>
                </c:pt>
                <c:pt idx="488">
                  <c:v>39.404062178536492</c:v>
                </c:pt>
                <c:pt idx="489">
                  <c:v>39.41894200786016</c:v>
                </c:pt>
                <c:pt idx="490">
                  <c:v>39.433234209909877</c:v>
                </c:pt>
                <c:pt idx="491">
                  <c:v>39.44696043269429</c:v>
                </c:pt>
                <c:pt idx="492">
                  <c:v>39.460141600701114</c:v>
                </c:pt>
                <c:pt idx="493">
                  <c:v>39.472797935246675</c:v>
                </c:pt>
                <c:pt idx="494">
                  <c:v>39.484948974483075</c:v>
                </c:pt>
                <c:pt idx="495">
                  <c:v>39.496613593051393</c:v>
                </c:pt>
                <c:pt idx="496">
                  <c:v>39.507810021371284</c:v>
                </c:pt>
                <c:pt idx="497">
                  <c:v>39.518555864558863</c:v>
                </c:pt>
                <c:pt idx="498">
                  <c:v>39.528868120966472</c:v>
                </c:pt>
                <c:pt idx="499">
                  <c:v>39.538763200339261</c:v>
                </c:pt>
                <c:pt idx="500">
                  <c:v>39.548256941584846</c:v>
                </c:pt>
                <c:pt idx="501">
                  <c:v>39.557364630153408</c:v>
                </c:pt>
                <c:pt idx="502">
                  <c:v>39.566101015026852</c:v>
                </c:pt>
                <c:pt idx="503">
                  <c:v>39.574480325316365</c:v>
                </c:pt>
                <c:pt idx="504">
                  <c:v>39.582516286468859</c:v>
                </c:pt>
                <c:pt idx="505">
                  <c:v>39.590222136083369</c:v>
                </c:pt>
                <c:pt idx="506">
                  <c:v>39.597610639339344</c:v>
                </c:pt>
                <c:pt idx="507">
                  <c:v>39.604694104039361</c:v>
                </c:pt>
                <c:pt idx="508">
                  <c:v>39.611484395269407</c:v>
                </c:pt>
                <c:pt idx="509">
                  <c:v>39.617992949680314</c:v>
                </c:pt>
                <c:pt idx="510">
                  <c:v>39.624230789394545</c:v>
                </c:pt>
                <c:pt idx="511">
                  <c:v>39.630208535542828</c:v>
                </c:pt>
                <c:pt idx="512">
                  <c:v>39.635936421435524</c:v>
                </c:pt>
                <c:pt idx="513">
                  <c:v>39.641424305373988</c:v>
                </c:pt>
                <c:pt idx="514">
                  <c:v>39.646681683107374</c:v>
                </c:pt>
                <c:pt idx="515">
                  <c:v>39.651717699940725</c:v>
                </c:pt>
                <c:pt idx="516">
                  <c:v>39.656541162500204</c:v>
                </c:pt>
                <c:pt idx="517">
                  <c:v>39.661160550161668</c:v>
                </c:pt>
                <c:pt idx="518">
                  <c:v>39.665584026148849</c:v>
                </c:pt>
                <c:pt idx="519">
                  <c:v>39.669819448307557</c:v>
                </c:pt>
                <c:pt idx="520">
                  <c:v>39.673874379562413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F2-4F68-94AB-D573D348D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090472"/>
        <c:axId val="558094408"/>
      </c:scatterChart>
      <c:scatterChart>
        <c:scatterStyle val="smoothMarker"/>
        <c:varyColors val="0"/>
        <c:ser>
          <c:idx val="3"/>
          <c:order val="3"/>
          <c:tx>
            <c:strRef>
              <c:f>estimation!$T$1</c:f>
              <c:strCache>
                <c:ptCount val="1"/>
                <c:pt idx="0">
                  <c:v>t (°C)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estimation!$P$2:$P$1838</c:f>
              <c:numCache>
                <c:formatCode>0.00</c:formatCode>
                <c:ptCount val="1837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</c:numCache>
            </c:numRef>
          </c:xVal>
          <c:yVal>
            <c:numRef>
              <c:f>estimation!$T$2:$T$1838</c:f>
              <c:numCache>
                <c:formatCode>0.0</c:formatCode>
                <c:ptCount val="1837"/>
                <c:pt idx="0">
                  <c:v>70</c:v>
                </c:pt>
                <c:pt idx="1">
                  <c:v>70.375</c:v>
                </c:pt>
                <c:pt idx="2">
                  <c:v>70.75</c:v>
                </c:pt>
                <c:pt idx="3">
                  <c:v>71.125</c:v>
                </c:pt>
                <c:pt idx="4">
                  <c:v>71.5</c:v>
                </c:pt>
                <c:pt idx="5">
                  <c:v>71.875</c:v>
                </c:pt>
                <c:pt idx="6">
                  <c:v>72.25</c:v>
                </c:pt>
                <c:pt idx="7">
                  <c:v>72.625</c:v>
                </c:pt>
                <c:pt idx="8">
                  <c:v>73</c:v>
                </c:pt>
                <c:pt idx="9">
                  <c:v>73.375</c:v>
                </c:pt>
                <c:pt idx="10">
                  <c:v>73.75</c:v>
                </c:pt>
                <c:pt idx="11">
                  <c:v>74.125</c:v>
                </c:pt>
                <c:pt idx="12">
                  <c:v>74.5</c:v>
                </c:pt>
                <c:pt idx="13">
                  <c:v>74.875</c:v>
                </c:pt>
                <c:pt idx="14">
                  <c:v>75.25</c:v>
                </c:pt>
                <c:pt idx="15">
                  <c:v>75.625</c:v>
                </c:pt>
                <c:pt idx="16">
                  <c:v>76</c:v>
                </c:pt>
                <c:pt idx="17">
                  <c:v>76.375</c:v>
                </c:pt>
                <c:pt idx="18">
                  <c:v>76.75</c:v>
                </c:pt>
                <c:pt idx="19">
                  <c:v>77.125</c:v>
                </c:pt>
                <c:pt idx="20">
                  <c:v>77.5</c:v>
                </c:pt>
                <c:pt idx="21">
                  <c:v>77.875</c:v>
                </c:pt>
                <c:pt idx="22">
                  <c:v>78.25</c:v>
                </c:pt>
                <c:pt idx="23">
                  <c:v>78.625</c:v>
                </c:pt>
                <c:pt idx="24">
                  <c:v>79</c:v>
                </c:pt>
                <c:pt idx="25">
                  <c:v>79.375</c:v>
                </c:pt>
                <c:pt idx="26">
                  <c:v>79.75</c:v>
                </c:pt>
                <c:pt idx="27">
                  <c:v>80.125</c:v>
                </c:pt>
                <c:pt idx="28">
                  <c:v>80.5</c:v>
                </c:pt>
                <c:pt idx="29">
                  <c:v>80.875</c:v>
                </c:pt>
                <c:pt idx="30">
                  <c:v>81.25</c:v>
                </c:pt>
                <c:pt idx="31">
                  <c:v>81.625</c:v>
                </c:pt>
                <c:pt idx="32">
                  <c:v>82</c:v>
                </c:pt>
                <c:pt idx="33">
                  <c:v>82.375</c:v>
                </c:pt>
                <c:pt idx="34">
                  <c:v>82.75</c:v>
                </c:pt>
                <c:pt idx="35">
                  <c:v>83.125</c:v>
                </c:pt>
                <c:pt idx="36">
                  <c:v>83.5</c:v>
                </c:pt>
                <c:pt idx="37">
                  <c:v>83.875</c:v>
                </c:pt>
                <c:pt idx="38">
                  <c:v>84.25</c:v>
                </c:pt>
                <c:pt idx="39">
                  <c:v>84.625</c:v>
                </c:pt>
                <c:pt idx="40">
                  <c:v>85</c:v>
                </c:pt>
                <c:pt idx="41">
                  <c:v>85.25</c:v>
                </c:pt>
                <c:pt idx="42">
                  <c:v>85.5</c:v>
                </c:pt>
                <c:pt idx="43">
                  <c:v>85.75</c:v>
                </c:pt>
                <c:pt idx="44">
                  <c:v>86</c:v>
                </c:pt>
                <c:pt idx="45">
                  <c:v>86.25</c:v>
                </c:pt>
                <c:pt idx="46">
                  <c:v>86.5</c:v>
                </c:pt>
                <c:pt idx="47">
                  <c:v>86.75</c:v>
                </c:pt>
                <c:pt idx="48">
                  <c:v>87</c:v>
                </c:pt>
                <c:pt idx="49">
                  <c:v>87.25</c:v>
                </c:pt>
                <c:pt idx="50">
                  <c:v>87.5</c:v>
                </c:pt>
                <c:pt idx="51">
                  <c:v>87.75</c:v>
                </c:pt>
                <c:pt idx="52">
                  <c:v>88</c:v>
                </c:pt>
                <c:pt idx="53">
                  <c:v>88.25</c:v>
                </c:pt>
                <c:pt idx="54">
                  <c:v>88.5</c:v>
                </c:pt>
                <c:pt idx="55">
                  <c:v>88.75</c:v>
                </c:pt>
                <c:pt idx="56">
                  <c:v>89</c:v>
                </c:pt>
                <c:pt idx="57">
                  <c:v>89.25</c:v>
                </c:pt>
                <c:pt idx="58">
                  <c:v>89.5</c:v>
                </c:pt>
                <c:pt idx="59">
                  <c:v>89.75</c:v>
                </c:pt>
                <c:pt idx="60">
                  <c:v>90</c:v>
                </c:pt>
                <c:pt idx="61">
                  <c:v>90.25</c:v>
                </c:pt>
                <c:pt idx="62">
                  <c:v>90.5</c:v>
                </c:pt>
                <c:pt idx="63">
                  <c:v>90.75</c:v>
                </c:pt>
                <c:pt idx="64">
                  <c:v>91</c:v>
                </c:pt>
                <c:pt idx="65">
                  <c:v>91.25</c:v>
                </c:pt>
                <c:pt idx="66">
                  <c:v>91.5</c:v>
                </c:pt>
                <c:pt idx="67">
                  <c:v>91.75</c:v>
                </c:pt>
                <c:pt idx="68">
                  <c:v>92</c:v>
                </c:pt>
                <c:pt idx="69">
                  <c:v>92.25</c:v>
                </c:pt>
                <c:pt idx="70">
                  <c:v>92.5</c:v>
                </c:pt>
                <c:pt idx="71">
                  <c:v>92.75</c:v>
                </c:pt>
                <c:pt idx="72">
                  <c:v>93</c:v>
                </c:pt>
                <c:pt idx="73">
                  <c:v>93.25</c:v>
                </c:pt>
                <c:pt idx="74">
                  <c:v>93.5</c:v>
                </c:pt>
                <c:pt idx="75">
                  <c:v>93.75</c:v>
                </c:pt>
                <c:pt idx="76">
                  <c:v>94</c:v>
                </c:pt>
                <c:pt idx="77">
                  <c:v>94.25</c:v>
                </c:pt>
                <c:pt idx="78">
                  <c:v>94.5</c:v>
                </c:pt>
                <c:pt idx="79">
                  <c:v>94.75</c:v>
                </c:pt>
                <c:pt idx="80">
                  <c:v>95</c:v>
                </c:pt>
                <c:pt idx="81">
                  <c:v>95.125</c:v>
                </c:pt>
                <c:pt idx="82">
                  <c:v>95.25</c:v>
                </c:pt>
                <c:pt idx="83">
                  <c:v>95.375</c:v>
                </c:pt>
                <c:pt idx="84">
                  <c:v>95.5</c:v>
                </c:pt>
                <c:pt idx="85">
                  <c:v>95.625</c:v>
                </c:pt>
                <c:pt idx="86">
                  <c:v>95.75</c:v>
                </c:pt>
                <c:pt idx="87">
                  <c:v>95.875</c:v>
                </c:pt>
                <c:pt idx="88">
                  <c:v>96</c:v>
                </c:pt>
                <c:pt idx="89">
                  <c:v>96.125</c:v>
                </c:pt>
                <c:pt idx="90">
                  <c:v>96.25</c:v>
                </c:pt>
                <c:pt idx="91">
                  <c:v>96.375</c:v>
                </c:pt>
                <c:pt idx="92">
                  <c:v>96.5</c:v>
                </c:pt>
                <c:pt idx="93">
                  <c:v>96.625</c:v>
                </c:pt>
                <c:pt idx="94">
                  <c:v>96.75</c:v>
                </c:pt>
                <c:pt idx="95">
                  <c:v>96.875</c:v>
                </c:pt>
                <c:pt idx="96">
                  <c:v>97</c:v>
                </c:pt>
                <c:pt idx="97">
                  <c:v>97.125</c:v>
                </c:pt>
                <c:pt idx="98">
                  <c:v>97.25</c:v>
                </c:pt>
                <c:pt idx="99">
                  <c:v>97.375</c:v>
                </c:pt>
                <c:pt idx="100">
                  <c:v>97.5</c:v>
                </c:pt>
                <c:pt idx="101">
                  <c:v>97.625</c:v>
                </c:pt>
                <c:pt idx="102">
                  <c:v>97.75</c:v>
                </c:pt>
                <c:pt idx="103">
                  <c:v>97.875</c:v>
                </c:pt>
                <c:pt idx="104">
                  <c:v>98</c:v>
                </c:pt>
                <c:pt idx="105">
                  <c:v>98.125</c:v>
                </c:pt>
                <c:pt idx="106">
                  <c:v>98.25</c:v>
                </c:pt>
                <c:pt idx="107">
                  <c:v>98.375</c:v>
                </c:pt>
                <c:pt idx="108">
                  <c:v>98.5</c:v>
                </c:pt>
                <c:pt idx="109">
                  <c:v>98.625</c:v>
                </c:pt>
                <c:pt idx="110">
                  <c:v>98.75</c:v>
                </c:pt>
                <c:pt idx="111">
                  <c:v>98.875</c:v>
                </c:pt>
                <c:pt idx="112">
                  <c:v>99</c:v>
                </c:pt>
                <c:pt idx="113">
                  <c:v>99.125</c:v>
                </c:pt>
                <c:pt idx="114">
                  <c:v>99.25</c:v>
                </c:pt>
                <c:pt idx="115">
                  <c:v>99.375</c:v>
                </c:pt>
                <c:pt idx="116">
                  <c:v>99.5</c:v>
                </c:pt>
                <c:pt idx="117">
                  <c:v>99.625</c:v>
                </c:pt>
                <c:pt idx="118">
                  <c:v>99.75</c:v>
                </c:pt>
                <c:pt idx="119">
                  <c:v>99.875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100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100</c:v>
                </c:pt>
                <c:pt idx="155">
                  <c:v>100</c:v>
                </c:pt>
                <c:pt idx="156">
                  <c:v>100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100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100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100</c:v>
                </c:pt>
                <c:pt idx="221">
                  <c:v>100</c:v>
                </c:pt>
                <c:pt idx="222">
                  <c:v>100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100</c:v>
                </c:pt>
                <c:pt idx="351">
                  <c:v>100</c:v>
                </c:pt>
                <c:pt idx="352">
                  <c:v>100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100</c:v>
                </c:pt>
                <c:pt idx="357">
                  <c:v>100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99.625</c:v>
                </c:pt>
                <c:pt idx="362">
                  <c:v>99.25</c:v>
                </c:pt>
                <c:pt idx="363">
                  <c:v>98.875</c:v>
                </c:pt>
                <c:pt idx="364">
                  <c:v>98.5</c:v>
                </c:pt>
                <c:pt idx="365">
                  <c:v>98.125</c:v>
                </c:pt>
                <c:pt idx="366">
                  <c:v>97.75</c:v>
                </c:pt>
                <c:pt idx="367">
                  <c:v>97.375</c:v>
                </c:pt>
                <c:pt idx="368">
                  <c:v>97</c:v>
                </c:pt>
                <c:pt idx="369">
                  <c:v>96.625</c:v>
                </c:pt>
                <c:pt idx="370">
                  <c:v>96.25</c:v>
                </c:pt>
                <c:pt idx="371">
                  <c:v>95.875</c:v>
                </c:pt>
                <c:pt idx="372">
                  <c:v>95.5</c:v>
                </c:pt>
                <c:pt idx="373">
                  <c:v>95.125</c:v>
                </c:pt>
                <c:pt idx="374">
                  <c:v>94.75</c:v>
                </c:pt>
                <c:pt idx="375">
                  <c:v>94.375</c:v>
                </c:pt>
                <c:pt idx="376">
                  <c:v>94</c:v>
                </c:pt>
                <c:pt idx="377">
                  <c:v>93.625</c:v>
                </c:pt>
                <c:pt idx="378">
                  <c:v>93.25</c:v>
                </c:pt>
                <c:pt idx="379">
                  <c:v>92.875</c:v>
                </c:pt>
                <c:pt idx="380">
                  <c:v>92.5</c:v>
                </c:pt>
                <c:pt idx="381">
                  <c:v>92.125</c:v>
                </c:pt>
                <c:pt idx="382">
                  <c:v>91.75</c:v>
                </c:pt>
                <c:pt idx="383">
                  <c:v>91.375</c:v>
                </c:pt>
                <c:pt idx="384">
                  <c:v>91</c:v>
                </c:pt>
                <c:pt idx="385">
                  <c:v>90.625</c:v>
                </c:pt>
                <c:pt idx="386">
                  <c:v>90.25</c:v>
                </c:pt>
                <c:pt idx="387">
                  <c:v>89.875</c:v>
                </c:pt>
                <c:pt idx="388">
                  <c:v>89.5</c:v>
                </c:pt>
                <c:pt idx="389">
                  <c:v>89.125</c:v>
                </c:pt>
                <c:pt idx="390">
                  <c:v>88.75</c:v>
                </c:pt>
                <c:pt idx="391">
                  <c:v>88.375</c:v>
                </c:pt>
                <c:pt idx="392">
                  <c:v>88</c:v>
                </c:pt>
                <c:pt idx="393">
                  <c:v>87.625</c:v>
                </c:pt>
                <c:pt idx="394">
                  <c:v>87.25</c:v>
                </c:pt>
                <c:pt idx="395">
                  <c:v>86.875</c:v>
                </c:pt>
                <c:pt idx="396">
                  <c:v>86.5</c:v>
                </c:pt>
                <c:pt idx="397">
                  <c:v>86.125</c:v>
                </c:pt>
                <c:pt idx="398">
                  <c:v>85.75</c:v>
                </c:pt>
                <c:pt idx="399">
                  <c:v>85.375</c:v>
                </c:pt>
                <c:pt idx="400">
                  <c:v>85</c:v>
                </c:pt>
                <c:pt idx="401">
                  <c:v>84.875</c:v>
                </c:pt>
                <c:pt idx="402">
                  <c:v>84.75</c:v>
                </c:pt>
                <c:pt idx="403">
                  <c:v>84.625</c:v>
                </c:pt>
                <c:pt idx="404">
                  <c:v>84.5</c:v>
                </c:pt>
                <c:pt idx="405">
                  <c:v>84.375</c:v>
                </c:pt>
                <c:pt idx="406">
                  <c:v>84.25</c:v>
                </c:pt>
                <c:pt idx="407">
                  <c:v>84.125</c:v>
                </c:pt>
                <c:pt idx="408">
                  <c:v>84</c:v>
                </c:pt>
                <c:pt idx="409">
                  <c:v>83.875</c:v>
                </c:pt>
                <c:pt idx="410">
                  <c:v>83.75</c:v>
                </c:pt>
                <c:pt idx="411">
                  <c:v>83.625</c:v>
                </c:pt>
                <c:pt idx="412">
                  <c:v>83.5</c:v>
                </c:pt>
                <c:pt idx="413">
                  <c:v>83.375</c:v>
                </c:pt>
                <c:pt idx="414">
                  <c:v>83.25</c:v>
                </c:pt>
                <c:pt idx="415">
                  <c:v>83.125</c:v>
                </c:pt>
                <c:pt idx="416">
                  <c:v>83</c:v>
                </c:pt>
                <c:pt idx="417">
                  <c:v>82.875</c:v>
                </c:pt>
                <c:pt idx="418">
                  <c:v>82.75</c:v>
                </c:pt>
                <c:pt idx="419">
                  <c:v>82.625</c:v>
                </c:pt>
                <c:pt idx="420">
                  <c:v>82.5</c:v>
                </c:pt>
                <c:pt idx="421">
                  <c:v>82.375</c:v>
                </c:pt>
                <c:pt idx="422">
                  <c:v>82.25</c:v>
                </c:pt>
                <c:pt idx="423">
                  <c:v>82.125</c:v>
                </c:pt>
                <c:pt idx="424">
                  <c:v>82</c:v>
                </c:pt>
                <c:pt idx="425">
                  <c:v>81.875</c:v>
                </c:pt>
                <c:pt idx="426">
                  <c:v>81.75</c:v>
                </c:pt>
                <c:pt idx="427">
                  <c:v>81.625</c:v>
                </c:pt>
                <c:pt idx="428">
                  <c:v>81.5</c:v>
                </c:pt>
                <c:pt idx="429">
                  <c:v>81.375</c:v>
                </c:pt>
                <c:pt idx="430">
                  <c:v>81.25</c:v>
                </c:pt>
                <c:pt idx="431">
                  <c:v>81.125</c:v>
                </c:pt>
                <c:pt idx="432">
                  <c:v>81</c:v>
                </c:pt>
                <c:pt idx="433">
                  <c:v>80.875</c:v>
                </c:pt>
                <c:pt idx="434">
                  <c:v>80.75</c:v>
                </c:pt>
                <c:pt idx="435">
                  <c:v>80.625</c:v>
                </c:pt>
                <c:pt idx="436">
                  <c:v>80.5</c:v>
                </c:pt>
                <c:pt idx="437">
                  <c:v>80.375</c:v>
                </c:pt>
                <c:pt idx="438">
                  <c:v>80.25</c:v>
                </c:pt>
                <c:pt idx="439">
                  <c:v>80.125</c:v>
                </c:pt>
                <c:pt idx="440">
                  <c:v>80</c:v>
                </c:pt>
                <c:pt idx="441">
                  <c:v>79.875</c:v>
                </c:pt>
                <c:pt idx="442">
                  <c:v>79.75</c:v>
                </c:pt>
                <c:pt idx="443">
                  <c:v>79.625</c:v>
                </c:pt>
                <c:pt idx="444">
                  <c:v>79.5</c:v>
                </c:pt>
                <c:pt idx="445">
                  <c:v>79.375</c:v>
                </c:pt>
                <c:pt idx="446">
                  <c:v>79.25</c:v>
                </c:pt>
                <c:pt idx="447">
                  <c:v>79.125</c:v>
                </c:pt>
                <c:pt idx="448">
                  <c:v>79</c:v>
                </c:pt>
                <c:pt idx="449">
                  <c:v>78.875</c:v>
                </c:pt>
                <c:pt idx="450">
                  <c:v>78.75</c:v>
                </c:pt>
                <c:pt idx="451">
                  <c:v>78.625</c:v>
                </c:pt>
                <c:pt idx="452">
                  <c:v>78.5</c:v>
                </c:pt>
                <c:pt idx="453">
                  <c:v>78.375</c:v>
                </c:pt>
                <c:pt idx="454">
                  <c:v>78.25</c:v>
                </c:pt>
                <c:pt idx="455">
                  <c:v>78.125</c:v>
                </c:pt>
                <c:pt idx="456">
                  <c:v>78</c:v>
                </c:pt>
                <c:pt idx="457">
                  <c:v>77.875</c:v>
                </c:pt>
                <c:pt idx="458">
                  <c:v>77.75</c:v>
                </c:pt>
                <c:pt idx="459">
                  <c:v>77.625</c:v>
                </c:pt>
                <c:pt idx="460">
                  <c:v>77.5</c:v>
                </c:pt>
                <c:pt idx="461">
                  <c:v>77.375</c:v>
                </c:pt>
                <c:pt idx="462">
                  <c:v>77.25</c:v>
                </c:pt>
                <c:pt idx="463">
                  <c:v>77.125</c:v>
                </c:pt>
                <c:pt idx="464">
                  <c:v>77</c:v>
                </c:pt>
                <c:pt idx="465">
                  <c:v>76.875</c:v>
                </c:pt>
                <c:pt idx="466">
                  <c:v>76.75</c:v>
                </c:pt>
                <c:pt idx="467">
                  <c:v>76.625</c:v>
                </c:pt>
                <c:pt idx="468">
                  <c:v>76.5</c:v>
                </c:pt>
                <c:pt idx="469">
                  <c:v>76.375</c:v>
                </c:pt>
                <c:pt idx="470">
                  <c:v>76.25</c:v>
                </c:pt>
                <c:pt idx="471">
                  <c:v>76.125</c:v>
                </c:pt>
                <c:pt idx="472">
                  <c:v>76</c:v>
                </c:pt>
                <c:pt idx="473">
                  <c:v>75.875</c:v>
                </c:pt>
                <c:pt idx="474">
                  <c:v>75.75</c:v>
                </c:pt>
                <c:pt idx="475">
                  <c:v>75.625</c:v>
                </c:pt>
                <c:pt idx="476">
                  <c:v>75.5</c:v>
                </c:pt>
                <c:pt idx="477">
                  <c:v>75.375</c:v>
                </c:pt>
                <c:pt idx="478">
                  <c:v>75.25</c:v>
                </c:pt>
                <c:pt idx="479">
                  <c:v>75.125</c:v>
                </c:pt>
                <c:pt idx="480">
                  <c:v>75</c:v>
                </c:pt>
                <c:pt idx="481">
                  <c:v>74.625</c:v>
                </c:pt>
                <c:pt idx="482">
                  <c:v>74.25</c:v>
                </c:pt>
                <c:pt idx="483">
                  <c:v>73.875</c:v>
                </c:pt>
                <c:pt idx="484">
                  <c:v>73.5</c:v>
                </c:pt>
                <c:pt idx="485">
                  <c:v>73.125</c:v>
                </c:pt>
                <c:pt idx="486">
                  <c:v>72.75</c:v>
                </c:pt>
                <c:pt idx="487">
                  <c:v>72.375</c:v>
                </c:pt>
                <c:pt idx="488">
                  <c:v>72</c:v>
                </c:pt>
                <c:pt idx="489">
                  <c:v>71.625</c:v>
                </c:pt>
                <c:pt idx="490">
                  <c:v>71.25</c:v>
                </c:pt>
                <c:pt idx="491">
                  <c:v>70.875</c:v>
                </c:pt>
                <c:pt idx="492">
                  <c:v>70.5</c:v>
                </c:pt>
                <c:pt idx="493">
                  <c:v>70.125</c:v>
                </c:pt>
                <c:pt idx="494">
                  <c:v>69.75</c:v>
                </c:pt>
                <c:pt idx="495">
                  <c:v>69.375</c:v>
                </c:pt>
                <c:pt idx="496">
                  <c:v>69</c:v>
                </c:pt>
                <c:pt idx="497">
                  <c:v>68.625</c:v>
                </c:pt>
                <c:pt idx="498">
                  <c:v>68.25</c:v>
                </c:pt>
                <c:pt idx="499">
                  <c:v>67.875</c:v>
                </c:pt>
                <c:pt idx="500">
                  <c:v>67.5</c:v>
                </c:pt>
                <c:pt idx="501">
                  <c:v>67.125</c:v>
                </c:pt>
                <c:pt idx="502">
                  <c:v>66.75</c:v>
                </c:pt>
                <c:pt idx="503">
                  <c:v>66.375</c:v>
                </c:pt>
                <c:pt idx="504">
                  <c:v>66</c:v>
                </c:pt>
                <c:pt idx="505">
                  <c:v>65.625</c:v>
                </c:pt>
                <c:pt idx="506">
                  <c:v>65.25</c:v>
                </c:pt>
                <c:pt idx="507">
                  <c:v>64.875</c:v>
                </c:pt>
                <c:pt idx="508">
                  <c:v>64.5</c:v>
                </c:pt>
                <c:pt idx="509">
                  <c:v>64.125</c:v>
                </c:pt>
                <c:pt idx="510">
                  <c:v>63.75</c:v>
                </c:pt>
                <c:pt idx="511">
                  <c:v>63.375</c:v>
                </c:pt>
                <c:pt idx="512">
                  <c:v>63</c:v>
                </c:pt>
                <c:pt idx="513">
                  <c:v>62.625</c:v>
                </c:pt>
                <c:pt idx="514">
                  <c:v>62.25</c:v>
                </c:pt>
                <c:pt idx="515">
                  <c:v>61.875</c:v>
                </c:pt>
                <c:pt idx="516">
                  <c:v>61.5</c:v>
                </c:pt>
                <c:pt idx="517">
                  <c:v>61.125</c:v>
                </c:pt>
                <c:pt idx="518">
                  <c:v>60.75</c:v>
                </c:pt>
                <c:pt idx="519">
                  <c:v>60.375</c:v>
                </c:pt>
                <c:pt idx="520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0B-4763-8636-B807FD0AC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220368"/>
        <c:axId val="390642272"/>
      </c:scatterChart>
      <c:valAx>
        <c:axId val="558090472"/>
        <c:scaling>
          <c:orientation val="minMax"/>
        </c:scaling>
        <c:delete val="0"/>
        <c:axPos val="b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800"/>
                </a:pPr>
                <a:r>
                  <a:rPr lang="cs-CZ" sz="1800"/>
                  <a:t>time</a:t>
                </a:r>
                <a:r>
                  <a:rPr lang="en-US" sz="1800"/>
                  <a:t> (min)</a:t>
                </a:r>
              </a:p>
            </c:rich>
          </c:tx>
          <c:layout>
            <c:manualLayout>
              <c:xMode val="edge"/>
              <c:yMode val="edge"/>
              <c:x val="0.4562659047996816"/>
              <c:y val="0.9227929298131011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558094408"/>
        <c:crosses val="autoZero"/>
        <c:crossBetween val="midCat"/>
      </c:valAx>
      <c:valAx>
        <c:axId val="558094408"/>
        <c:scaling>
          <c:orientation val="minMax"/>
          <c:min val="0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600"/>
                </a:pPr>
                <a:r>
                  <a:rPr lang="cs-CZ" sz="1600"/>
                  <a:t>concentration</a:t>
                </a:r>
                <a:r>
                  <a:rPr lang="en-US" sz="1600"/>
                  <a:t> (mg/L)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400"/>
            </a:pPr>
            <a:endParaRPr lang="en-US"/>
          </a:p>
        </c:txPr>
        <c:crossAx val="558090472"/>
        <c:crosses val="autoZero"/>
        <c:crossBetween val="midCat"/>
      </c:valAx>
      <c:valAx>
        <c:axId val="39064227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teplota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400"/>
            </a:pPr>
            <a:endParaRPr lang="en-US"/>
          </a:p>
        </c:txPr>
        <c:crossAx val="554220368"/>
        <c:crosses val="max"/>
        <c:crossBetween val="midCat"/>
      </c:valAx>
      <c:valAx>
        <c:axId val="55422036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90642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7821429385034514"/>
          <c:y val="0.27569380417347111"/>
          <c:w val="0.14368947130737286"/>
          <c:h val="0.1836926601945035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cs-CZ" sz="1600"/>
              <a:t>IBU and Temperature profile</a:t>
            </a:r>
            <a:endParaRPr lang="en-US" sz="16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94550524833264"/>
          <c:y val="0.1138948979515783"/>
          <c:w val="0.77412889819213171"/>
          <c:h val="0.7567415751896218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estimation!$U$1</c:f>
              <c:strCache>
                <c:ptCount val="1"/>
                <c:pt idx="0">
                  <c:v>IBU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estimation!$P$2:$P$1801</c:f>
              <c:numCache>
                <c:formatCode>0.00</c:formatCode>
                <c:ptCount val="1800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</c:numCache>
            </c:numRef>
          </c:xVal>
          <c:yVal>
            <c:numRef>
              <c:f>estimation!$U$2:$U$1801</c:f>
              <c:numCache>
                <c:formatCode>0.0</c:formatCode>
                <c:ptCount val="1800"/>
                <c:pt idx="0">
                  <c:v>0</c:v>
                </c:pt>
                <c:pt idx="1">
                  <c:v>1.0768047056439942E-2</c:v>
                </c:pt>
                <c:pt idx="2">
                  <c:v>2.1945155767530752E-2</c:v>
                </c:pt>
                <c:pt idx="3">
                  <c:v>3.3545705891774857E-2</c:v>
                </c:pt>
                <c:pt idx="4">
                  <c:v>4.5584530932861037E-2</c:v>
                </c:pt>
                <c:pt idx="5">
                  <c:v>5.8076929926168523E-2</c:v>
                </c:pt>
                <c:pt idx="6">
                  <c:v>7.1038679386749889E-2</c:v>
                </c:pt>
                <c:pt idx="7">
                  <c:v>8.4486045410560373E-2</c:v>
                </c:pt>
                <c:pt idx="8">
                  <c:v>9.8435795919686486E-2</c:v>
                </c:pt>
                <c:pt idx="9">
                  <c:v>0.11290521304123803</c:v>
                </c:pt>
                <c:pt idx="10">
                  <c:v>0.12791210560840777</c:v>
                </c:pt>
                <c:pt idx="11">
                  <c:v>0.14347482177095863</c:v>
                </c:pt>
                <c:pt idx="12">
                  <c:v>0.15961226170107726</c:v>
                </c:pt>
                <c:pt idx="13">
                  <c:v>0.17634389037911707</c:v>
                </c:pt>
                <c:pt idx="14">
                  <c:v>0.19368975044225173</c:v>
                </c:pt>
                <c:pt idx="15">
                  <c:v>0.21167047507745762</c:v>
                </c:pt>
                <c:pt idx="16">
                  <c:v>0.23030730093853813</c:v>
                </c:pt>
                <c:pt idx="17">
                  <c:v>0.24962208106509473</c:v>
                </c:pt>
                <c:pt idx="18">
                  <c:v>0.2696372977794248</c:v>
                </c:pt>
                <c:pt idx="19">
                  <c:v>0.29037607553528427</c:v>
                </c:pt>
                <c:pt idx="20">
                  <c:v>0.31186219369029233</c:v>
                </c:pt>
                <c:pt idx="21">
                  <c:v>0.33412009917145802</c:v>
                </c:pt>
                <c:pt idx="22">
                  <c:v>0.35717491900088372</c:v>
                </c:pt>
                <c:pt idx="23">
                  <c:v>0.3810524726461304</c:v>
                </c:pt>
                <c:pt idx="24">
                  <c:v>0.40577928415701553</c:v>
                </c:pt>
                <c:pt idx="25">
                  <c:v>0.43138259404774304</c:v>
                </c:pt>
                <c:pt idx="26">
                  <c:v>0.45789037088024204</c:v>
                </c:pt>
                <c:pt idx="27">
                  <c:v>0.48533132250139416</c:v>
                </c:pt>
                <c:pt idx="28">
                  <c:v>0.51373490688346701</c:v>
                </c:pt>
                <c:pt idx="29">
                  <c:v>0.54313134251352857</c:v>
                </c:pt>
                <c:pt idx="30">
                  <c:v>0.57355161827388923</c:v>
                </c:pt>
                <c:pt idx="31">
                  <c:v>0.60502750275170569</c:v>
                </c:pt>
                <c:pt idx="32">
                  <c:v>0.63759155291176006</c:v>
                </c:pt>
                <c:pt idx="33">
                  <c:v>0.67127712206211909</c:v>
                </c:pt>
                <c:pt idx="34">
                  <c:v>0.70611836703785014</c:v>
                </c:pt>
                <c:pt idx="35">
                  <c:v>0.74215025452323369</c:v>
                </c:pt>
                <c:pt idx="36">
                  <c:v>0.77940856642795731</c:v>
                </c:pt>
                <c:pt idx="37">
                  <c:v>0.81792990422759437</c:v>
                </c:pt>
                <c:pt idx="38">
                  <c:v>0.8577516921732643</c:v>
                </c:pt>
                <c:pt idx="39">
                  <c:v>0.89891217926973543</c:v>
                </c:pt>
                <c:pt idx="40">
                  <c:v>0.94145043991535249</c:v>
                </c:pt>
                <c:pt idx="41">
                  <c:v>0.9854063730910666</c:v>
                </c:pt>
                <c:pt idx="42">
                  <c:v>1.0303004545286318</c:v>
                </c:pt>
                <c:pt idx="43">
                  <c:v>1.0761489825778321</c:v>
                </c:pt>
                <c:pt idx="44">
                  <c:v>1.1229683941318234</c:v>
                </c:pt>
                <c:pt idx="45">
                  <c:v>1.1707752589533247</c:v>
                </c:pt>
                <c:pt idx="46">
                  <c:v>1.2195862735825431</c:v>
                </c:pt>
                <c:pt idx="47">
                  <c:v>1.269418254809966</c:v>
                </c:pt>
                <c:pt idx="48">
                  <c:v>1.3202881326967308</c:v>
                </c:pt>
                <c:pt idx="49">
                  <c:v>1.3722129431248424</c:v>
                </c:pt>
                <c:pt idx="50">
                  <c:v>1.4252098198590786</c:v>
                </c:pt>
                <c:pt idx="51">
                  <c:v>1.4792959861019985</c:v>
                </c:pt>
                <c:pt idx="52">
                  <c:v>1.534488745523048</c:v>
                </c:pt>
                <c:pt idx="53">
                  <c:v>1.5908054727423258</c:v>
                </c:pt>
                <c:pt idx="54">
                  <c:v>1.6482636032491813</c:v>
                </c:pt>
                <c:pt idx="55">
                  <c:v>1.7068806227354003</c:v>
                </c:pt>
                <c:pt idx="56">
                  <c:v>1.7666740558223446</c:v>
                </c:pt>
                <c:pt idx="57">
                  <c:v>1.827661454161037</c:v>
                </c:pt>
                <c:pt idx="58">
                  <c:v>1.8898603838838122</c:v>
                </c:pt>
                <c:pt idx="59">
                  <c:v>1.9532884123858048</c:v>
                </c:pt>
                <c:pt idx="60">
                  <c:v>2.0179630944142128</c:v>
                </c:pt>
                <c:pt idx="61">
                  <c:v>2.0839019574429649</c:v>
                </c:pt>
                <c:pt idx="62">
                  <c:v>2.1511224863101237</c:v>
                </c:pt>
                <c:pt idx="63">
                  <c:v>2.2196421070951042</c:v>
                </c:pt>
                <c:pt idx="64">
                  <c:v>2.2894781702125324</c:v>
                </c:pt>
                <c:pt idx="65">
                  <c:v>2.3606479326993788</c:v>
                </c:pt>
                <c:pt idx="66">
                  <c:v>2.4331685396718159</c:v>
                </c:pt>
                <c:pt idx="67">
                  <c:v>2.507057004928122</c:v>
                </c:pt>
                <c:pt idx="68">
                  <c:v>2.5823301906738481</c:v>
                </c:pt>
                <c:pt idx="69">
                  <c:v>2.6590047863454167</c:v>
                </c:pt>
                <c:pt idx="70">
                  <c:v>2.7370972865083165</c:v>
                </c:pt>
                <c:pt idx="71">
                  <c:v>2.8166239678060996</c:v>
                </c:pt>
                <c:pt idx="72">
                  <c:v>2.8976008649364817</c:v>
                </c:pt>
                <c:pt idx="73">
                  <c:v>2.9800437456310291</c:v>
                </c:pt>
                <c:pt idx="74">
                  <c:v>3.0639680846150954</c:v>
                </c:pt>
                <c:pt idx="75">
                  <c:v>3.1493890365250228</c:v>
                </c:pt>
                <c:pt idx="76">
                  <c:v>3.2363214077599269</c:v>
                </c:pt>
                <c:pt idx="77">
                  <c:v>3.3247796272458747</c:v>
                </c:pt>
                <c:pt idx="78">
                  <c:v>3.4147777160907644</c:v>
                </c:pt>
                <c:pt idx="79">
                  <c:v>3.5063292561088493</c:v>
                </c:pt>
                <c:pt idx="80">
                  <c:v>3.5994473571945464</c:v>
                </c:pt>
                <c:pt idx="81">
                  <c:v>3.6941446235259927</c:v>
                </c:pt>
                <c:pt idx="82">
                  <c:v>3.7893926792669044</c:v>
                </c:pt>
                <c:pt idx="83">
                  <c:v>3.8851877198564115</c:v>
                </c:pt>
                <c:pt idx="84">
                  <c:v>3.9815257523266099</c:v>
                </c:pt>
                <c:pt idx="85">
                  <c:v>4.0784025921530329</c:v>
                </c:pt>
                <c:pt idx="86">
                  <c:v>4.1758138600975281</c:v>
                </c:pt>
                <c:pt idx="87">
                  <c:v>4.2737549790449476</c:v>
                </c:pt>
                <c:pt idx="88">
                  <c:v>4.3722211708351058</c:v>
                </c:pt>
                <c:pt idx="89">
                  <c:v>4.4712074530915409</c:v>
                </c:pt>
                <c:pt idx="90">
                  <c:v>4.5707086360486509</c:v>
                </c:pt>
                <c:pt idx="91">
                  <c:v>4.6707193193788283</c:v>
                </c:pt>
                <c:pt idx="92">
                  <c:v>4.771233889021306</c:v>
                </c:pt>
                <c:pt idx="93">
                  <c:v>4.8722465140144298</c:v>
                </c:pt>
                <c:pt idx="94">
                  <c:v>4.9737511433332031</c:v>
                </c:pt>
                <c:pt idx="95">
                  <c:v>5.0757415027339396</c:v>
                </c:pt>
                <c:pt idx="96">
                  <c:v>5.17821109160798</c:v>
                </c:pt>
                <c:pt idx="97">
                  <c:v>5.281153179846438</c:v>
                </c:pt>
                <c:pt idx="98">
                  <c:v>5.3845608047180571</c:v>
                </c:pt>
                <c:pt idx="99">
                  <c:v>5.4884267677622685</c:v>
                </c:pt>
                <c:pt idx="100">
                  <c:v>5.5927436316996531</c:v>
                </c:pt>
                <c:pt idx="101">
                  <c:v>5.6975037173620446</c:v>
                </c:pt>
                <c:pt idx="102">
                  <c:v>5.8026991006445758</c:v>
                </c:pt>
                <c:pt idx="103">
                  <c:v>5.9083216094820772</c:v>
                </c:pt>
                <c:pt idx="104">
                  <c:v>6.0143628208522362</c:v>
                </c:pt>
                <c:pt idx="105">
                  <c:v>6.1208140578080439</c:v>
                </c:pt>
                <c:pt idx="106">
                  <c:v>6.2276663865421344</c:v>
                </c:pt>
                <c:pt idx="107">
                  <c:v>6.3349106134856177</c:v>
                </c:pt>
                <c:pt idx="108">
                  <c:v>6.4425372824441665</c:v>
                </c:pt>
                <c:pt idx="109">
                  <c:v>6.55053667177412</c:v>
                </c:pt>
                <c:pt idx="110">
                  <c:v>6.6588987916014757</c:v>
                </c:pt>
                <c:pt idx="111">
                  <c:v>6.7676133810866821</c:v>
                </c:pt>
                <c:pt idx="112">
                  <c:v>6.8766699057382468</c:v>
                </c:pt>
                <c:pt idx="113">
                  <c:v>6.9860575547782071</c:v>
                </c:pt>
                <c:pt idx="114">
                  <c:v>7.0957652385626222</c:v>
                </c:pt>
                <c:pt idx="115">
                  <c:v>7.2057815860602741</c:v>
                </c:pt>
                <c:pt idx="116">
                  <c:v>7.3160949423928745</c:v>
                </c:pt>
                <c:pt idx="117">
                  <c:v>7.4266933664401185</c:v>
                </c:pt>
                <c:pt idx="118">
                  <c:v>7.5375646285129987</c:v>
                </c:pt>
                <c:pt idx="119">
                  <c:v>7.6486962080988796</c:v>
                </c:pt>
                <c:pt idx="120">
                  <c:v>7.7600752916818836</c:v>
                </c:pt>
                <c:pt idx="121">
                  <c:v>7.9888224026422199</c:v>
                </c:pt>
                <c:pt idx="122">
                  <c:v>8.2157364816085394</c:v>
                </c:pt>
                <c:pt idx="123">
                  <c:v>8.4408286080967851</c:v>
                </c:pt>
                <c:pt idx="124">
                  <c:v>8.664109800241814</c:v>
                </c:pt>
                <c:pt idx="125">
                  <c:v>8.8855910151259749</c:v>
                </c:pt>
                <c:pt idx="126">
                  <c:v>9.1052831491059756</c:v>
                </c:pt>
                <c:pt idx="127">
                  <c:v>9.3231970381379945</c:v>
                </c:pt>
                <c:pt idx="128">
                  <c:v>9.5393434581011114</c:v>
                </c:pt>
                <c:pt idx="129">
                  <c:v>9.7537331251190036</c:v>
                </c:pt>
                <c:pt idx="130">
                  <c:v>9.9663766958799549</c:v>
                </c:pt>
                <c:pt idx="131">
                  <c:v>10.177284767955189</c:v>
                </c:pt>
                <c:pt idx="132">
                  <c:v>10.386467880115498</c:v>
                </c:pt>
                <c:pt idx="133">
                  <c:v>10.593936512646216</c:v>
                </c:pt>
                <c:pt idx="134">
                  <c:v>10.799701087660544</c:v>
                </c:pt>
                <c:pt idx="135">
                  <c:v>11.003771969411183</c:v>
                </c:pt>
                <c:pt idx="136">
                  <c:v>11.206159464600363</c:v>
                </c:pt>
                <c:pt idx="137">
                  <c:v>11.406873822688208</c:v>
                </c:pt>
                <c:pt idx="138">
                  <c:v>11.605925236199496</c:v>
                </c:pt>
                <c:pt idx="139">
                  <c:v>11.803323841028773</c:v>
                </c:pt>
                <c:pt idx="140">
                  <c:v>11.99907971674388</c:v>
                </c:pt>
                <c:pt idx="141">
                  <c:v>12.193202886887883</c:v>
                </c:pt>
                <c:pt idx="142">
                  <c:v>12.38570331927937</c:v>
                </c:pt>
                <c:pt idx="143">
                  <c:v>12.57659092631121</c:v>
                </c:pt>
                <c:pt idx="144">
                  <c:v>12.765875565247709</c:v>
                </c:pt>
                <c:pt idx="145">
                  <c:v>12.953567038520202</c:v>
                </c:pt>
                <c:pt idx="146">
                  <c:v>13.139675094021076</c:v>
                </c:pt>
                <c:pt idx="147">
                  <c:v>13.324209425396273</c:v>
                </c:pt>
                <c:pt idx="148">
                  <c:v>13.507179672336205</c:v>
                </c:pt>
                <c:pt idx="149">
                  <c:v>13.688595420865168</c:v>
                </c:pt>
                <c:pt idx="150">
                  <c:v>13.868466203629204</c:v>
                </c:pt>
                <c:pt idx="151">
                  <c:v>14.046801500182459</c:v>
                </c:pt>
                <c:pt idx="152">
                  <c:v>14.223610737272031</c:v>
                </c:pt>
                <c:pt idx="153">
                  <c:v>14.398903289121288</c:v>
                </c:pt>
                <c:pt idx="154">
                  <c:v>14.572688477711727</c:v>
                </c:pt>
                <c:pt idx="155">
                  <c:v>14.744975573063313</c:v>
                </c:pt>
                <c:pt idx="156">
                  <c:v>14.91577379351336</c:v>
                </c:pt>
                <c:pt idx="157">
                  <c:v>15.085092305993923</c:v>
                </c:pt>
                <c:pt idx="158">
                  <c:v>15.252940226307741</c:v>
                </c:pt>
                <c:pt idx="159">
                  <c:v>15.4193266194027</c:v>
                </c:pt>
                <c:pt idx="160">
                  <c:v>15.584260499644872</c:v>
                </c:pt>
                <c:pt idx="161">
                  <c:v>15.747750831090098</c:v>
                </c:pt>
                <c:pt idx="162">
                  <c:v>15.909806527754135</c:v>
                </c:pt>
                <c:pt idx="163">
                  <c:v>16.070436453881378</c:v>
                </c:pt>
                <c:pt idx="164">
                  <c:v>16.229649424212163</c:v>
                </c:pt>
                <c:pt idx="165">
                  <c:v>16.387454204248673</c:v>
                </c:pt>
                <c:pt idx="166">
                  <c:v>16.543859510519415</c:v>
                </c:pt>
                <c:pt idx="167">
                  <c:v>16.698874010842303</c:v>
                </c:pt>
                <c:pt idx="168">
                  <c:v>16.852506324586365</c:v>
                </c:pt>
                <c:pt idx="169">
                  <c:v>17.004765022932062</c:v>
                </c:pt>
                <c:pt idx="170">
                  <c:v>17.155658629130237</c:v>
                </c:pt>
                <c:pt idx="171">
                  <c:v>17.305195618759669</c:v>
                </c:pt>
                <c:pt idx="172">
                  <c:v>17.453384419983298</c:v>
                </c:pt>
                <c:pt idx="173">
                  <c:v>17.600233413803089</c:v>
                </c:pt>
                <c:pt idx="174">
                  <c:v>17.745750934313538</c:v>
                </c:pt>
                <c:pt idx="175">
                  <c:v>17.889945268953838</c:v>
                </c:pt>
                <c:pt idx="176">
                  <c:v>18.032824658758727</c:v>
                </c:pt>
                <c:pt idx="177">
                  <c:v>18.174397298608003</c:v>
                </c:pt>
                <c:pt idx="178">
                  <c:v>18.314671337474714</c:v>
                </c:pt>
                <c:pt idx="179">
                  <c:v>18.45365487867204</c:v>
                </c:pt>
                <c:pt idx="180">
                  <c:v>18.591355980098882</c:v>
                </c:pt>
                <c:pt idx="181">
                  <c:v>18.72778265448413</c:v>
                </c:pt>
                <c:pt idx="182">
                  <c:v>18.862942869629656</c:v>
                </c:pt>
                <c:pt idx="183">
                  <c:v>18.996844548652028</c:v>
                </c:pt>
                <c:pt idx="184">
                  <c:v>19.129495570222915</c:v>
                </c:pt>
                <c:pt idx="185">
                  <c:v>19.260903768808266</c:v>
                </c:pt>
                <c:pt idx="186">
                  <c:v>19.391076934906188</c:v>
                </c:pt>
                <c:pt idx="187">
                  <c:v>19.520022815283578</c:v>
                </c:pt>
                <c:pt idx="188">
                  <c:v>19.647749113211525</c:v>
                </c:pt>
                <c:pt idx="189">
                  <c:v>19.774263488699408</c:v>
                </c:pt>
                <c:pt idx="190">
                  <c:v>19.899573558727838</c:v>
                </c:pt>
                <c:pt idx="191">
                  <c:v>20.023686897480307</c:v>
                </c:pt>
                <c:pt idx="192">
                  <c:v>20.146611036573621</c:v>
                </c:pt>
                <c:pt idx="193">
                  <c:v>20.268353465287134</c:v>
                </c:pt>
                <c:pt idx="194">
                  <c:v>20.388921630790772</c:v>
                </c:pt>
                <c:pt idx="195">
                  <c:v>20.508322938371826</c:v>
                </c:pt>
                <c:pt idx="196">
                  <c:v>20.626564751660549</c:v>
                </c:pt>
                <c:pt idx="197">
                  <c:v>20.743654392854584</c:v>
                </c:pt>
                <c:pt idx="198">
                  <c:v>20.859599142942191</c:v>
                </c:pt>
                <c:pt idx="199">
                  <c:v>20.974406241924267</c:v>
                </c:pt>
                <c:pt idx="200">
                  <c:v>21.08808288903526</c:v>
                </c:pt>
                <c:pt idx="201">
                  <c:v>21.200636242962823</c:v>
                </c:pt>
                <c:pt idx="202">
                  <c:v>21.312073422066387</c:v>
                </c:pt>
                <c:pt idx="203">
                  <c:v>21.422401504594543</c:v>
                </c:pt>
                <c:pt idx="204">
                  <c:v>21.531627528901243</c:v>
                </c:pt>
                <c:pt idx="205">
                  <c:v>21.639758493660931</c:v>
                </c:pt>
                <c:pt idx="206">
                  <c:v>21.746801358082468</c:v>
                </c:pt>
                <c:pt idx="207">
                  <c:v>21.852763042121943</c:v>
                </c:pt>
                <c:pt idx="208">
                  <c:v>21.957650426694403</c:v>
                </c:pt>
                <c:pt idx="209">
                  <c:v>22.061470353884388</c:v>
                </c:pt>
                <c:pt idx="210">
                  <c:v>22.164229627155397</c:v>
                </c:pt>
                <c:pt idx="211">
                  <c:v>22.265935011558259</c:v>
                </c:pt>
                <c:pt idx="212">
                  <c:v>22.366593233938346</c:v>
                </c:pt>
                <c:pt idx="213">
                  <c:v>22.466210983141746</c:v>
                </c:pt>
                <c:pt idx="214">
                  <c:v>22.564794910220304</c:v>
                </c:pt>
                <c:pt idx="215">
                  <c:v>22.662351628635609</c:v>
                </c:pt>
                <c:pt idx="216">
                  <c:v>22.758887714461888</c:v>
                </c:pt>
                <c:pt idx="217">
                  <c:v>22.85440970658782</c:v>
                </c:pt>
                <c:pt idx="218">
                  <c:v>22.948924106917268</c:v>
                </c:pt>
                <c:pt idx="219">
                  <c:v>23.042437380569002</c:v>
                </c:pt>
                <c:pt idx="220">
                  <c:v>23.134955956075292</c:v>
                </c:pt>
                <c:pt idx="221">
                  <c:v>23.226486225579514</c:v>
                </c:pt>
                <c:pt idx="222">
                  <c:v>23.317034545032676</c:v>
                </c:pt>
                <c:pt idx="223">
                  <c:v>23.406607234388897</c:v>
                </c:pt>
                <c:pt idx="224">
                  <c:v>23.49521057779987</c:v>
                </c:pt>
                <c:pt idx="225">
                  <c:v>23.582850823808304</c:v>
                </c:pt>
                <c:pt idx="226">
                  <c:v>23.669534185540289</c:v>
                </c:pt>
                <c:pt idx="227">
                  <c:v>23.75526684089672</c:v>
                </c:pt>
                <c:pt idx="228">
                  <c:v>23.84005493274363</c:v>
                </c:pt>
                <c:pt idx="229">
                  <c:v>23.923904569101584</c:v>
                </c:pt>
                <c:pt idx="230">
                  <c:v>24.006821823334008</c:v>
                </c:pt>
                <c:pt idx="231">
                  <c:v>24.088812734334567</c:v>
                </c:pt>
                <c:pt idx="232">
                  <c:v>24.169883306713515</c:v>
                </c:pt>
                <c:pt idx="233">
                  <c:v>24.250039510983104</c:v>
                </c:pt>
                <c:pt idx="234">
                  <c:v>24.329287283741934</c:v>
                </c:pt>
                <c:pt idx="235">
                  <c:v>24.407632527858439</c:v>
                </c:pt>
                <c:pt idx="236">
                  <c:v>24.485081112653258</c:v>
                </c:pt>
                <c:pt idx="237">
                  <c:v>24.561638874080799</c:v>
                </c:pt>
                <c:pt idx="238">
                  <c:v>24.637311614909688</c:v>
                </c:pt>
                <c:pt idx="239">
                  <c:v>24.712105104902367</c:v>
                </c:pt>
                <c:pt idx="240">
                  <c:v>24.78602508099371</c:v>
                </c:pt>
                <c:pt idx="241">
                  <c:v>24.976210879468677</c:v>
                </c:pt>
                <c:pt idx="242">
                  <c:v>25.16464520303807</c:v>
                </c:pt>
                <c:pt idx="243">
                  <c:v>25.351338990377656</c:v>
                </c:pt>
                <c:pt idx="244">
                  <c:v>25.536303118839626</c:v>
                </c:pt>
                <c:pt idx="245">
                  <c:v>25.719548404782575</c:v>
                </c:pt>
                <c:pt idx="246">
                  <c:v>25.901085603899581</c:v>
                </c:pt>
                <c:pt idx="247">
                  <c:v>26.080925411544673</c:v>
                </c:pt>
                <c:pt idx="248">
                  <c:v>26.259078463057492</c:v>
                </c:pt>
                <c:pt idx="249">
                  <c:v>26.435555334086271</c:v>
                </c:pt>
                <c:pt idx="250">
                  <c:v>26.610366540909123</c:v>
                </c:pt>
                <c:pt idx="251">
                  <c:v>26.78352254075358</c:v>
                </c:pt>
                <c:pt idx="252">
                  <c:v>26.955033732114508</c:v>
                </c:pt>
                <c:pt idx="253">
                  <c:v>27.124910455070271</c:v>
                </c:pt>
                <c:pt idx="254">
                  <c:v>27.293162991597267</c:v>
                </c:pt>
                <c:pt idx="255">
                  <c:v>27.459801565882803</c:v>
                </c:pt>
                <c:pt idx="256">
                  <c:v>27.624836344636293</c:v>
                </c:pt>
                <c:pt idx="257">
                  <c:v>27.788277437398818</c:v>
                </c:pt>
                <c:pt idx="258">
                  <c:v>27.950134896851068</c:v>
                </c:pt>
                <c:pt idx="259">
                  <c:v>28.110418719119604</c:v>
                </c:pt>
                <c:pt idx="260">
                  <c:v>28.269138844081571</c:v>
                </c:pt>
                <c:pt idx="261">
                  <c:v>28.426305155667745</c:v>
                </c:pt>
                <c:pt idx="262">
                  <c:v>28.581927482163977</c:v>
                </c:pt>
                <c:pt idx="263">
                  <c:v>28.736015596511105</c:v>
                </c:pt>
                <c:pt idx="264">
                  <c:v>28.888579216603187</c:v>
                </c:pt>
                <c:pt idx="265">
                  <c:v>29.039628005584238</c:v>
                </c:pt>
                <c:pt idx="266">
                  <c:v>29.18917157214333</c:v>
                </c:pt>
                <c:pt idx="267">
                  <c:v>29.337219470808193</c:v>
                </c:pt>
                <c:pt idx="268">
                  <c:v>29.483781202237218</c:v>
                </c:pt>
                <c:pt idx="269">
                  <c:v>29.628866213509912</c:v>
                </c:pt>
                <c:pt idx="270">
                  <c:v>29.772483898415867</c:v>
                </c:pt>
                <c:pt idx="271">
                  <c:v>29.914643597742149</c:v>
                </c:pt>
                <c:pt idx="272">
                  <c:v>30.055354599559177</c:v>
                </c:pt>
                <c:pt idx="273">
                  <c:v>30.194626139505086</c:v>
                </c:pt>
                <c:pt idx="274">
                  <c:v>30.332467401068641</c:v>
                </c:pt>
                <c:pt idx="275">
                  <c:v>30.468887515870541</c:v>
                </c:pt>
                <c:pt idx="276">
                  <c:v>30.603895563943347</c:v>
                </c:pt>
                <c:pt idx="277">
                  <c:v>30.737500574009864</c:v>
                </c:pt>
                <c:pt idx="278">
                  <c:v>30.869711523760053</c:v>
                </c:pt>
                <c:pt idx="279">
                  <c:v>31.00053734012652</c:v>
                </c:pt>
                <c:pt idx="280">
                  <c:v>31.129986899558492</c:v>
                </c:pt>
                <c:pt idx="281">
                  <c:v>31.258069028294361</c:v>
                </c:pt>
                <c:pt idx="282">
                  <c:v>31.38479250263283</c:v>
                </c:pt>
                <c:pt idx="283">
                  <c:v>31.510166049202535</c:v>
                </c:pt>
                <c:pt idx="284">
                  <c:v>31.634198345230324</c:v>
                </c:pt>
                <c:pt idx="285">
                  <c:v>31.756898018808048</c:v>
                </c:pt>
                <c:pt idx="286">
                  <c:v>31.878273649158022</c:v>
                </c:pt>
                <c:pt idx="287">
                  <c:v>31.998333766896959</c:v>
                </c:pt>
                <c:pt idx="288">
                  <c:v>32.117086854298648</c:v>
                </c:pt>
                <c:pt idx="289">
                  <c:v>32.234541345555101</c:v>
                </c:pt>
                <c:pt idx="290">
                  <c:v>32.350705627036454</c:v>
                </c:pt>
                <c:pt idx="291">
                  <c:v>32.46558803754936</c:v>
                </c:pt>
                <c:pt idx="292">
                  <c:v>32.579196868594124</c:v>
                </c:pt>
                <c:pt idx="293">
                  <c:v>32.691540364620373</c:v>
                </c:pt>
                <c:pt idx="294">
                  <c:v>32.802626723281492</c:v>
                </c:pt>
                <c:pt idx="295">
                  <c:v>32.912464095687596</c:v>
                </c:pt>
                <c:pt idx="296">
                  <c:v>33.021060586657228</c:v>
                </c:pt>
                <c:pt idx="297">
                  <c:v>33.128424254967726</c:v>
                </c:pt>
                <c:pt idx="298">
                  <c:v>33.23456311360421</c:v>
                </c:pt>
                <c:pt idx="299">
                  <c:v>33.339485130007283</c:v>
                </c:pt>
                <c:pt idx="300">
                  <c:v>33.443198226319467</c:v>
                </c:pt>
                <c:pt idx="301">
                  <c:v>33.545710279630256</c:v>
                </c:pt>
                <c:pt idx="302">
                  <c:v>33.647029122219884</c:v>
                </c:pt>
                <c:pt idx="303">
                  <c:v>33.747162541801849</c:v>
                </c:pt>
                <c:pt idx="304">
                  <c:v>33.84611828176412</c:v>
                </c:pt>
                <c:pt idx="305">
                  <c:v>33.943904041409013</c:v>
                </c:pt>
                <c:pt idx="306">
                  <c:v>34.040527476191926</c:v>
                </c:pt>
                <c:pt idx="307">
                  <c:v>34.135996197958697</c:v>
                </c:pt>
                <c:pt idx="308">
                  <c:v>34.23031777518171</c:v>
                </c:pt>
                <c:pt idx="309">
                  <c:v>34.323499733194829</c:v>
                </c:pt>
                <c:pt idx="310">
                  <c:v>34.415549554426988</c:v>
                </c:pt>
                <c:pt idx="311">
                  <c:v>34.506474678634632</c:v>
                </c:pt>
                <c:pt idx="312">
                  <c:v>34.596282503132834</c:v>
                </c:pt>
                <c:pt idx="313">
                  <c:v>34.684980383025298</c:v>
                </c:pt>
                <c:pt idx="314">
                  <c:v>34.772575631433014</c:v>
                </c:pt>
                <c:pt idx="315">
                  <c:v>34.859075519721806</c:v>
                </c:pt>
                <c:pt idx="316">
                  <c:v>34.944487277728626</c:v>
                </c:pt>
                <c:pt idx="317">
                  <c:v>35.028818093986651</c:v>
                </c:pt>
                <c:pt idx="318">
                  <c:v>35.112075115949189</c:v>
                </c:pt>
                <c:pt idx="319">
                  <c:v>35.194265450212413</c:v>
                </c:pt>
                <c:pt idx="320">
                  <c:v>35.275396162736868</c:v>
                </c:pt>
                <c:pt idx="321">
                  <c:v>35.35547427906787</c:v>
                </c:pt>
                <c:pt idx="322">
                  <c:v>35.434506784554692</c:v>
                </c:pt>
                <c:pt idx="323">
                  <c:v>35.51250062456856</c:v>
                </c:pt>
                <c:pt idx="324">
                  <c:v>35.589462704719587</c:v>
                </c:pt>
                <c:pt idx="325">
                  <c:v>35.665399891072433</c:v>
                </c:pt>
                <c:pt idx="326">
                  <c:v>35.740319010360949</c:v>
                </c:pt>
                <c:pt idx="327">
                  <c:v>35.814226850201564</c:v>
                </c:pt>
                <c:pt idx="328">
                  <c:v>35.887130159305634</c:v>
                </c:pt>
                <c:pt idx="329">
                  <c:v>35.959035647690584</c:v>
                </c:pt>
                <c:pt idx="330">
                  <c:v>36.029949986890003</c:v>
                </c:pt>
                <c:pt idx="331">
                  <c:v>36.099879810162555</c:v>
                </c:pt>
                <c:pt idx="332">
                  <c:v>36.168831712699863</c:v>
                </c:pt>
                <c:pt idx="333">
                  <c:v>36.236812251833214</c:v>
                </c:pt>
                <c:pt idx="334">
                  <c:v>36.303827947239157</c:v>
                </c:pt>
                <c:pt idx="335">
                  <c:v>36.369885281144143</c:v>
                </c:pt>
                <c:pt idx="336">
                  <c:v>36.434990698527905</c:v>
                </c:pt>
                <c:pt idx="337">
                  <c:v>36.499150607325845</c:v>
                </c:pt>
                <c:pt idx="338">
                  <c:v>36.562371378630374</c:v>
                </c:pt>
                <c:pt idx="339">
                  <c:v>36.624659346891136</c:v>
                </c:pt>
                <c:pt idx="340">
                  <c:v>36.686020810114151</c:v>
                </c:pt>
                <c:pt idx="341">
                  <c:v>36.863595662059957</c:v>
                </c:pt>
                <c:pt idx="342">
                  <c:v>37.039367159339683</c:v>
                </c:pt>
                <c:pt idx="343">
                  <c:v>37.213346790974441</c:v>
                </c:pt>
                <c:pt idx="344">
                  <c:v>37.385545981126874</c:v>
                </c:pt>
                <c:pt idx="345">
                  <c:v>37.555976089451121</c:v>
                </c:pt>
                <c:pt idx="346">
                  <c:v>37.724648411440853</c:v>
                </c:pt>
                <c:pt idx="347">
                  <c:v>37.891574178775514</c:v>
                </c:pt>
                <c:pt idx="348">
                  <c:v>38.056764559664657</c:v>
                </c:pt>
                <c:pt idx="349">
                  <c:v>38.220230659190527</c:v>
                </c:pt>
                <c:pt idx="350">
                  <c:v>38.381983519648813</c:v>
                </c:pt>
                <c:pt idx="351">
                  <c:v>38.542034120887571</c:v>
                </c:pt>
                <c:pt idx="352">
                  <c:v>38.700393380644371</c:v>
                </c:pt>
                <c:pt idx="353">
                  <c:v>38.857072154881671</c:v>
                </c:pt>
                <c:pt idx="354">
                  <c:v>39.012081238120395</c:v>
                </c:pt>
                <c:pt idx="355">
                  <c:v>39.165431363771738</c:v>
                </c:pt>
                <c:pt idx="356">
                  <c:v>39.317133204467254</c:v>
                </c:pt>
                <c:pt idx="357">
                  <c:v>39.467197372387155</c:v>
                </c:pt>
                <c:pt idx="358">
                  <c:v>39.615634419586861</c:v>
                </c:pt>
                <c:pt idx="359">
                  <c:v>39.762454838321908</c:v>
                </c:pt>
                <c:pt idx="360">
                  <c:v>39.907669061371017</c:v>
                </c:pt>
                <c:pt idx="361">
                  <c:v>40.0512874623575</c:v>
                </c:pt>
                <c:pt idx="362">
                  <c:v>40.189133995800177</c:v>
                </c:pt>
                <c:pt idx="363">
                  <c:v>40.321478243944327</c:v>
                </c:pt>
                <c:pt idx="364">
                  <c:v>40.448574887190155</c:v>
                </c:pt>
                <c:pt idx="365">
                  <c:v>40.570664647161152</c:v>
                </c:pt>
                <c:pt idx="366">
                  <c:v>40.68797516407728</c:v>
                </c:pt>
                <c:pt idx="367">
                  <c:v>40.800721813376128</c:v>
                </c:pt>
                <c:pt idx="368">
                  <c:v>40.909108466125005</c:v>
                </c:pt>
                <c:pt idx="369">
                  <c:v>41.013328197401698</c:v>
                </c:pt>
                <c:pt idx="370">
                  <c:v>41.113563946488121</c:v>
                </c:pt>
                <c:pt idx="371">
                  <c:v>41.20998913241575</c:v>
                </c:pt>
                <c:pt idx="372">
                  <c:v>41.302768228122524</c:v>
                </c:pt>
                <c:pt idx="373">
                  <c:v>41.392057296225921</c:v>
                </c:pt>
                <c:pt idx="374">
                  <c:v>41.478004489182148</c:v>
                </c:pt>
                <c:pt idx="375">
                  <c:v>41.560750516387664</c:v>
                </c:pt>
                <c:pt idx="376">
                  <c:v>41.640429080582152</c:v>
                </c:pt>
                <c:pt idx="377">
                  <c:v>41.717167285731747</c:v>
                </c:pt>
                <c:pt idx="378">
                  <c:v>41.791086018405736</c:v>
                </c:pt>
                <c:pt idx="379">
                  <c:v>41.862300304507826</c:v>
                </c:pt>
                <c:pt idx="380">
                  <c:v>41.930919643083172</c:v>
                </c:pt>
                <c:pt idx="381">
                  <c:v>41.997048318793688</c:v>
                </c:pt>
                <c:pt idx="382">
                  <c:v>42.0607856945362</c:v>
                </c:pt>
                <c:pt idx="383">
                  <c:v>42.122226485568788</c:v>
                </c:pt>
                <c:pt idx="384">
                  <c:v>42.181461016410339</c:v>
                </c:pt>
                <c:pt idx="385">
                  <c:v>42.238575461686295</c:v>
                </c:pt>
                <c:pt idx="386">
                  <c:v>42.293652072007987</c:v>
                </c:pt>
                <c:pt idx="387">
                  <c:v>42.346769385894362</c:v>
                </c:pt>
                <c:pt idx="388">
                  <c:v>42.398002428672783</c:v>
                </c:pt>
                <c:pt idx="389">
                  <c:v>42.447422899228009</c:v>
                </c:pt>
                <c:pt idx="390">
                  <c:v>42.495099345407176</c:v>
                </c:pt>
                <c:pt idx="391">
                  <c:v>42.541097328830894</c:v>
                </c:pt>
                <c:pt idx="392">
                  <c:v>42.585479579808236</c:v>
                </c:pt>
                <c:pt idx="393">
                  <c:v>42.628306143003861</c:v>
                </c:pt>
                <c:pt idx="394">
                  <c:v>42.66963451446108</c:v>
                </c:pt>
                <c:pt idx="395">
                  <c:v>42.709519770541746</c:v>
                </c:pt>
                <c:pt idx="396">
                  <c:v>42.748014689306103</c:v>
                </c:pt>
                <c:pt idx="397">
                  <c:v>42.785169864818883</c:v>
                </c:pt>
                <c:pt idx="398">
                  <c:v>42.82103381483509</c:v>
                </c:pt>
                <c:pt idx="399">
                  <c:v>42.85565308228793</c:v>
                </c:pt>
                <c:pt idx="400">
                  <c:v>42.889072330972375</c:v>
                </c:pt>
                <c:pt idx="401">
                  <c:v>43.012896246847873</c:v>
                </c:pt>
                <c:pt idx="402">
                  <c:v>43.135054430164907</c:v>
                </c:pt>
                <c:pt idx="403">
                  <c:v>43.255571430239364</c:v>
                </c:pt>
                <c:pt idx="404">
                  <c:v>43.374471376573034</c:v>
                </c:pt>
                <c:pt idx="405">
                  <c:v>43.491777987298718</c:v>
                </c:pt>
                <c:pt idx="406">
                  <c:v>43.60751457743131</c:v>
                </c:pt>
                <c:pt idx="407">
                  <c:v>43.721704066929952</c:v>
                </c:pt>
                <c:pt idx="408">
                  <c:v>43.834368988575882</c:v>
                </c:pt>
                <c:pt idx="409">
                  <c:v>43.945531495670778</c:v>
                </c:pt>
                <c:pt idx="410">
                  <c:v>44.055213369559979</c:v>
                </c:pt>
                <c:pt idx="411">
                  <c:v>44.163436026985096</c:v>
                </c:pt>
                <c:pt idx="412">
                  <c:v>44.270220527270162</c:v>
                </c:pt>
                <c:pt idx="413">
                  <c:v>44.375587579345634</c:v>
                </c:pt>
                <c:pt idx="414">
                  <c:v>44.479557548614167</c:v>
                </c:pt>
                <c:pt idx="415">
                  <c:v>44.582150463662153</c:v>
                </c:pt>
                <c:pt idx="416">
                  <c:v>44.68338602282094</c:v>
                </c:pt>
                <c:pt idx="417">
                  <c:v>44.783283600581164</c:v>
                </c:pt>
                <c:pt idx="418">
                  <c:v>44.881862253864284</c:v>
                </c:pt>
                <c:pt idx="419">
                  <c:v>44.979140728154391</c:v>
                </c:pt>
                <c:pt idx="420">
                  <c:v>45.075137463494094</c:v>
                </c:pt>
                <c:pt idx="421">
                  <c:v>45.169870600347529</c:v>
                </c:pt>
                <c:pt idx="422">
                  <c:v>45.263357985333982</c:v>
                </c:pt>
                <c:pt idx="423">
                  <c:v>45.355617176835146</c:v>
                </c:pt>
                <c:pt idx="424">
                  <c:v>45.446665450479195</c:v>
                </c:pt>
                <c:pt idx="425">
                  <c:v>45.536519804504579</c:v>
                </c:pt>
                <c:pt idx="426">
                  <c:v>45.625196965006531</c:v>
                </c:pt>
                <c:pt idx="427">
                  <c:v>45.712713391069158</c:v>
                </c:pt>
                <c:pt idx="428">
                  <c:v>45.799085279785778</c:v>
                </c:pt>
                <c:pt idx="429">
                  <c:v>45.884328571170322</c:v>
                </c:pt>
                <c:pt idx="430">
                  <c:v>45.968458952962372</c:v>
                </c:pt>
                <c:pt idx="431">
                  <c:v>46.051491865328344</c:v>
                </c:pt>
                <c:pt idx="432">
                  <c:v>46.133442505461481</c:v>
                </c:pt>
                <c:pt idx="433">
                  <c:v>46.214325832082785</c:v>
                </c:pt>
                <c:pt idx="434">
                  <c:v>46.294156569845669</c:v>
                </c:pt>
                <c:pt idx="435">
                  <c:v>46.372949213646116</c:v>
                </c:pt>
                <c:pt idx="436">
                  <c:v>46.450718032841174</c:v>
                </c:pt>
                <c:pt idx="437">
                  <c:v>46.527477075377369</c:v>
                </c:pt>
                <c:pt idx="438">
                  <c:v>46.603240171831686</c:v>
                </c:pt>
                <c:pt idx="439">
                  <c:v>46.67802093936686</c:v>
                </c:pt>
                <c:pt idx="440">
                  <c:v>46.751832785603156</c:v>
                </c:pt>
                <c:pt idx="441">
                  <c:v>46.82468891240849</c:v>
                </c:pt>
                <c:pt idx="442">
                  <c:v>46.896602319608931</c:v>
                </c:pt>
                <c:pt idx="443">
                  <c:v>46.96758580862145</c:v>
                </c:pt>
                <c:pt idx="444">
                  <c:v>47.037651986010545</c:v>
                </c:pt>
                <c:pt idx="445">
                  <c:v>47.106813266970796</c:v>
                </c:pt>
                <c:pt idx="446">
                  <c:v>47.175081878736876</c:v>
                </c:pt>
                <c:pt idx="447">
                  <c:v>47.242469863922793</c:v>
                </c:pt>
                <c:pt idx="448">
                  <c:v>47.308989083792028</c:v>
                </c:pt>
                <c:pt idx="449">
                  <c:v>47.374651221460027</c:v>
                </c:pt>
                <c:pt idx="450">
                  <c:v>47.43946778503085</c:v>
                </c:pt>
                <c:pt idx="451">
                  <c:v>47.503450110669256</c:v>
                </c:pt>
                <c:pt idx="452">
                  <c:v>47.566609365609892</c:v>
                </c:pt>
                <c:pt idx="453">
                  <c:v>47.628956551104913</c:v>
                </c:pt>
                <c:pt idx="454">
                  <c:v>47.690502505311528</c:v>
                </c:pt>
                <c:pt idx="455">
                  <c:v>47.751257906120792</c:v>
                </c:pt>
                <c:pt idx="456">
                  <c:v>47.811233273929005</c:v>
                </c:pt>
                <c:pt idx="457">
                  <c:v>47.870438974353043</c:v>
                </c:pt>
                <c:pt idx="458">
                  <c:v>47.928885220890876</c:v>
                </c:pt>
                <c:pt idx="459">
                  <c:v>47.986582077528524</c:v>
                </c:pt>
                <c:pt idx="460">
                  <c:v>48.043539461294692</c:v>
                </c:pt>
                <c:pt idx="461">
                  <c:v>48.099767144764179</c:v>
                </c:pt>
                <c:pt idx="462">
                  <c:v>48.155274758511375</c:v>
                </c:pt>
                <c:pt idx="463">
                  <c:v>48.210071793514764</c:v>
                </c:pt>
                <c:pt idx="464">
                  <c:v>48.264167603513762</c:v>
                </c:pt>
                <c:pt idx="465">
                  <c:v>48.317571407318738</c:v>
                </c:pt>
                <c:pt idx="466">
                  <c:v>48.370292291075486</c:v>
                </c:pt>
                <c:pt idx="467">
                  <c:v>48.422339210484949</c:v>
                </c:pt>
                <c:pt idx="468">
                  <c:v>48.473720992979338</c:v>
                </c:pt>
                <c:pt idx="469">
                  <c:v>48.524446339855594</c:v>
                </c:pt>
                <c:pt idx="470">
                  <c:v>48.574523828367113</c:v>
                </c:pt>
                <c:pt idx="471">
                  <c:v>48.623961913774629</c:v>
                </c:pt>
                <c:pt idx="472">
                  <c:v>48.672768931357268</c:v>
                </c:pt>
                <c:pt idx="473">
                  <c:v>48.720953098384527</c:v>
                </c:pt>
                <c:pt idx="474">
                  <c:v>48.768522516050098</c:v>
                </c:pt>
                <c:pt idx="475">
                  <c:v>48.815485171368408</c:v>
                </c:pt>
                <c:pt idx="476">
                  <c:v>48.861848939034601</c:v>
                </c:pt>
                <c:pt idx="477">
                  <c:v>48.907621583248897</c:v>
                </c:pt>
                <c:pt idx="478">
                  <c:v>48.95281075950593</c:v>
                </c:pt>
                <c:pt idx="479">
                  <c:v>48.997424016350017</c:v>
                </c:pt>
                <c:pt idx="480">
                  <c:v>49.041468797096968</c:v>
                </c:pt>
                <c:pt idx="481">
                  <c:v>49.084952441523185</c:v>
                </c:pt>
                <c:pt idx="482">
                  <c:v>49.126865107174865</c:v>
                </c:pt>
                <c:pt idx="483">
                  <c:v>49.167261602342712</c:v>
                </c:pt>
                <c:pt idx="484">
                  <c:v>49.206194841381347</c:v>
                </c:pt>
                <c:pt idx="485">
                  <c:v>49.243715913080763</c:v>
                </c:pt>
                <c:pt idx="486">
                  <c:v>49.279874146252219</c:v>
                </c:pt>
                <c:pt idx="487">
                  <c:v>49.314717172663109</c:v>
                </c:pt>
                <c:pt idx="488">
                  <c:v>49.348290987448458</c:v>
                </c:pt>
                <c:pt idx="489">
                  <c:v>49.380640007118821</c:v>
                </c:pt>
                <c:pt idx="490">
                  <c:v>49.411807125278344</c:v>
                </c:pt>
                <c:pt idx="491">
                  <c:v>49.441833766159981</c:v>
                </c:pt>
                <c:pt idx="492">
                  <c:v>49.470759936079304</c:v>
                </c:pt>
                <c:pt idx="493">
                  <c:v>49.498624272902561</c:v>
                </c:pt>
                <c:pt idx="494">
                  <c:v>49.52546409361981</c:v>
                </c:pt>
                <c:pt idx="495">
                  <c:v>49.551315440108475</c:v>
                </c:pt>
                <c:pt idx="496">
                  <c:v>49.576213123168777</c:v>
                </c:pt>
                <c:pt idx="497">
                  <c:v>49.600190764907659</c:v>
                </c:pt>
                <c:pt idx="498">
                  <c:v>49.623280839543916</c:v>
                </c:pt>
                <c:pt idx="499">
                  <c:v>49.645514712703537</c:v>
                </c:pt>
                <c:pt idx="500">
                  <c:v>49.66692267927067</c:v>
                </c:pt>
                <c:pt idx="501">
                  <c:v>49.687533999855795</c:v>
                </c:pt>
                <c:pt idx="502">
                  <c:v>49.707376935940353</c:v>
                </c:pt>
                <c:pt idx="503">
                  <c:v>49.726478783753237</c:v>
                </c:pt>
                <c:pt idx="504">
                  <c:v>49.744865906932205</c:v>
                </c:pt>
                <c:pt idx="505">
                  <c:v>49.762563768020577</c:v>
                </c:pt>
                <c:pt idx="506">
                  <c:v>49.77959695884676</c:v>
                </c:pt>
                <c:pt idx="507">
                  <c:v>49.795989229832387</c:v>
                </c:pt>
                <c:pt idx="508">
                  <c:v>49.811763518271846</c:v>
                </c:pt>
                <c:pt idx="509">
                  <c:v>49.826941975624628</c:v>
                </c:pt>
                <c:pt idx="510">
                  <c:v>49.841545993859356</c:v>
                </c:pt>
                <c:pt idx="511">
                  <c:v>49.855596230886867</c:v>
                </c:pt>
                <c:pt idx="512">
                  <c:v>49.869112635117858</c:v>
                </c:pt>
                <c:pt idx="513">
                  <c:v>49.882114469178674</c:v>
                </c:pt>
                <c:pt idx="514">
                  <c:v>49.894620332817766</c:v>
                </c:pt>
                <c:pt idx="515">
                  <c:v>49.90664818503334</c:v>
                </c:pt>
                <c:pt idx="516">
                  <c:v>49.918215365451665</c:v>
                </c:pt>
                <c:pt idx="517">
                  <c:v>49.929338614983934</c:v>
                </c:pt>
                <c:pt idx="518">
                  <c:v>49.940034095788562</c:v>
                </c:pt>
                <c:pt idx="519">
                  <c:v>49.950317410564367</c:v>
                </c:pt>
                <c:pt idx="520">
                  <c:v>49.960203621199135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A7-4197-95DD-482239C41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090472"/>
        <c:axId val="558094408"/>
      </c:scatterChart>
      <c:scatterChart>
        <c:scatterStyle val="smoothMarker"/>
        <c:varyColors val="0"/>
        <c:ser>
          <c:idx val="3"/>
          <c:order val="1"/>
          <c:tx>
            <c:strRef>
              <c:f>estimation!$T$1</c:f>
              <c:strCache>
                <c:ptCount val="1"/>
                <c:pt idx="0">
                  <c:v>t (°C)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estimation!$P$2:$P$1801</c:f>
              <c:numCache>
                <c:formatCode>0.00</c:formatCode>
                <c:ptCount val="1800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</c:numCache>
            </c:numRef>
          </c:xVal>
          <c:yVal>
            <c:numRef>
              <c:f>estimation!$T$2:$T$1801</c:f>
              <c:numCache>
                <c:formatCode>0.0</c:formatCode>
                <c:ptCount val="1800"/>
                <c:pt idx="0">
                  <c:v>70</c:v>
                </c:pt>
                <c:pt idx="1">
                  <c:v>70.375</c:v>
                </c:pt>
                <c:pt idx="2">
                  <c:v>70.75</c:v>
                </c:pt>
                <c:pt idx="3">
                  <c:v>71.125</c:v>
                </c:pt>
                <c:pt idx="4">
                  <c:v>71.5</c:v>
                </c:pt>
                <c:pt idx="5">
                  <c:v>71.875</c:v>
                </c:pt>
                <c:pt idx="6">
                  <c:v>72.25</c:v>
                </c:pt>
                <c:pt idx="7">
                  <c:v>72.625</c:v>
                </c:pt>
                <c:pt idx="8">
                  <c:v>73</c:v>
                </c:pt>
                <c:pt idx="9">
                  <c:v>73.375</c:v>
                </c:pt>
                <c:pt idx="10">
                  <c:v>73.75</c:v>
                </c:pt>
                <c:pt idx="11">
                  <c:v>74.125</c:v>
                </c:pt>
                <c:pt idx="12">
                  <c:v>74.5</c:v>
                </c:pt>
                <c:pt idx="13">
                  <c:v>74.875</c:v>
                </c:pt>
                <c:pt idx="14">
                  <c:v>75.25</c:v>
                </c:pt>
                <c:pt idx="15">
                  <c:v>75.625</c:v>
                </c:pt>
                <c:pt idx="16">
                  <c:v>76</c:v>
                </c:pt>
                <c:pt idx="17">
                  <c:v>76.375</c:v>
                </c:pt>
                <c:pt idx="18">
                  <c:v>76.75</c:v>
                </c:pt>
                <c:pt idx="19">
                  <c:v>77.125</c:v>
                </c:pt>
                <c:pt idx="20">
                  <c:v>77.5</c:v>
                </c:pt>
                <c:pt idx="21">
                  <c:v>77.875</c:v>
                </c:pt>
                <c:pt idx="22">
                  <c:v>78.25</c:v>
                </c:pt>
                <c:pt idx="23">
                  <c:v>78.625</c:v>
                </c:pt>
                <c:pt idx="24">
                  <c:v>79</c:v>
                </c:pt>
                <c:pt idx="25">
                  <c:v>79.375</c:v>
                </c:pt>
                <c:pt idx="26">
                  <c:v>79.75</c:v>
                </c:pt>
                <c:pt idx="27">
                  <c:v>80.125</c:v>
                </c:pt>
                <c:pt idx="28">
                  <c:v>80.5</c:v>
                </c:pt>
                <c:pt idx="29">
                  <c:v>80.875</c:v>
                </c:pt>
                <c:pt idx="30">
                  <c:v>81.25</c:v>
                </c:pt>
                <c:pt idx="31">
                  <c:v>81.625</c:v>
                </c:pt>
                <c:pt idx="32">
                  <c:v>82</c:v>
                </c:pt>
                <c:pt idx="33">
                  <c:v>82.375</c:v>
                </c:pt>
                <c:pt idx="34">
                  <c:v>82.75</c:v>
                </c:pt>
                <c:pt idx="35">
                  <c:v>83.125</c:v>
                </c:pt>
                <c:pt idx="36">
                  <c:v>83.5</c:v>
                </c:pt>
                <c:pt idx="37">
                  <c:v>83.875</c:v>
                </c:pt>
                <c:pt idx="38">
                  <c:v>84.25</c:v>
                </c:pt>
                <c:pt idx="39">
                  <c:v>84.625</c:v>
                </c:pt>
                <c:pt idx="40">
                  <c:v>85</c:v>
                </c:pt>
                <c:pt idx="41">
                  <c:v>85.25</c:v>
                </c:pt>
                <c:pt idx="42">
                  <c:v>85.5</c:v>
                </c:pt>
                <c:pt idx="43">
                  <c:v>85.75</c:v>
                </c:pt>
                <c:pt idx="44">
                  <c:v>86</c:v>
                </c:pt>
                <c:pt idx="45">
                  <c:v>86.25</c:v>
                </c:pt>
                <c:pt idx="46">
                  <c:v>86.5</c:v>
                </c:pt>
                <c:pt idx="47">
                  <c:v>86.75</c:v>
                </c:pt>
                <c:pt idx="48">
                  <c:v>87</c:v>
                </c:pt>
                <c:pt idx="49">
                  <c:v>87.25</c:v>
                </c:pt>
                <c:pt idx="50">
                  <c:v>87.5</c:v>
                </c:pt>
                <c:pt idx="51">
                  <c:v>87.75</c:v>
                </c:pt>
                <c:pt idx="52">
                  <c:v>88</c:v>
                </c:pt>
                <c:pt idx="53">
                  <c:v>88.25</c:v>
                </c:pt>
                <c:pt idx="54">
                  <c:v>88.5</c:v>
                </c:pt>
                <c:pt idx="55">
                  <c:v>88.75</c:v>
                </c:pt>
                <c:pt idx="56">
                  <c:v>89</c:v>
                </c:pt>
                <c:pt idx="57">
                  <c:v>89.25</c:v>
                </c:pt>
                <c:pt idx="58">
                  <c:v>89.5</c:v>
                </c:pt>
                <c:pt idx="59">
                  <c:v>89.75</c:v>
                </c:pt>
                <c:pt idx="60">
                  <c:v>90</c:v>
                </c:pt>
                <c:pt idx="61">
                  <c:v>90.25</c:v>
                </c:pt>
                <c:pt idx="62">
                  <c:v>90.5</c:v>
                </c:pt>
                <c:pt idx="63">
                  <c:v>90.75</c:v>
                </c:pt>
                <c:pt idx="64">
                  <c:v>91</c:v>
                </c:pt>
                <c:pt idx="65">
                  <c:v>91.25</c:v>
                </c:pt>
                <c:pt idx="66">
                  <c:v>91.5</c:v>
                </c:pt>
                <c:pt idx="67">
                  <c:v>91.75</c:v>
                </c:pt>
                <c:pt idx="68">
                  <c:v>92</c:v>
                </c:pt>
                <c:pt idx="69">
                  <c:v>92.25</c:v>
                </c:pt>
                <c:pt idx="70">
                  <c:v>92.5</c:v>
                </c:pt>
                <c:pt idx="71">
                  <c:v>92.75</c:v>
                </c:pt>
                <c:pt idx="72">
                  <c:v>93</c:v>
                </c:pt>
                <c:pt idx="73">
                  <c:v>93.25</c:v>
                </c:pt>
                <c:pt idx="74">
                  <c:v>93.5</c:v>
                </c:pt>
                <c:pt idx="75">
                  <c:v>93.75</c:v>
                </c:pt>
                <c:pt idx="76">
                  <c:v>94</c:v>
                </c:pt>
                <c:pt idx="77">
                  <c:v>94.25</c:v>
                </c:pt>
                <c:pt idx="78">
                  <c:v>94.5</c:v>
                </c:pt>
                <c:pt idx="79">
                  <c:v>94.75</c:v>
                </c:pt>
                <c:pt idx="80">
                  <c:v>95</c:v>
                </c:pt>
                <c:pt idx="81">
                  <c:v>95.125</c:v>
                </c:pt>
                <c:pt idx="82">
                  <c:v>95.25</c:v>
                </c:pt>
                <c:pt idx="83">
                  <c:v>95.375</c:v>
                </c:pt>
                <c:pt idx="84">
                  <c:v>95.5</c:v>
                </c:pt>
                <c:pt idx="85">
                  <c:v>95.625</c:v>
                </c:pt>
                <c:pt idx="86">
                  <c:v>95.75</c:v>
                </c:pt>
                <c:pt idx="87">
                  <c:v>95.875</c:v>
                </c:pt>
                <c:pt idx="88">
                  <c:v>96</c:v>
                </c:pt>
                <c:pt idx="89">
                  <c:v>96.125</c:v>
                </c:pt>
                <c:pt idx="90">
                  <c:v>96.25</c:v>
                </c:pt>
                <c:pt idx="91">
                  <c:v>96.375</c:v>
                </c:pt>
                <c:pt idx="92">
                  <c:v>96.5</c:v>
                </c:pt>
                <c:pt idx="93">
                  <c:v>96.625</c:v>
                </c:pt>
                <c:pt idx="94">
                  <c:v>96.75</c:v>
                </c:pt>
                <c:pt idx="95">
                  <c:v>96.875</c:v>
                </c:pt>
                <c:pt idx="96">
                  <c:v>97</c:v>
                </c:pt>
                <c:pt idx="97">
                  <c:v>97.125</c:v>
                </c:pt>
                <c:pt idx="98">
                  <c:v>97.25</c:v>
                </c:pt>
                <c:pt idx="99">
                  <c:v>97.375</c:v>
                </c:pt>
                <c:pt idx="100">
                  <c:v>97.5</c:v>
                </c:pt>
                <c:pt idx="101">
                  <c:v>97.625</c:v>
                </c:pt>
                <c:pt idx="102">
                  <c:v>97.75</c:v>
                </c:pt>
                <c:pt idx="103">
                  <c:v>97.875</c:v>
                </c:pt>
                <c:pt idx="104">
                  <c:v>98</c:v>
                </c:pt>
                <c:pt idx="105">
                  <c:v>98.125</c:v>
                </c:pt>
                <c:pt idx="106">
                  <c:v>98.25</c:v>
                </c:pt>
                <c:pt idx="107">
                  <c:v>98.375</c:v>
                </c:pt>
                <c:pt idx="108">
                  <c:v>98.5</c:v>
                </c:pt>
                <c:pt idx="109">
                  <c:v>98.625</c:v>
                </c:pt>
                <c:pt idx="110">
                  <c:v>98.75</c:v>
                </c:pt>
                <c:pt idx="111">
                  <c:v>98.875</c:v>
                </c:pt>
                <c:pt idx="112">
                  <c:v>99</c:v>
                </c:pt>
                <c:pt idx="113">
                  <c:v>99.125</c:v>
                </c:pt>
                <c:pt idx="114">
                  <c:v>99.25</c:v>
                </c:pt>
                <c:pt idx="115">
                  <c:v>99.375</c:v>
                </c:pt>
                <c:pt idx="116">
                  <c:v>99.5</c:v>
                </c:pt>
                <c:pt idx="117">
                  <c:v>99.625</c:v>
                </c:pt>
                <c:pt idx="118">
                  <c:v>99.75</c:v>
                </c:pt>
                <c:pt idx="119">
                  <c:v>99.875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100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100</c:v>
                </c:pt>
                <c:pt idx="155">
                  <c:v>100</c:v>
                </c:pt>
                <c:pt idx="156">
                  <c:v>100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100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100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100</c:v>
                </c:pt>
                <c:pt idx="221">
                  <c:v>100</c:v>
                </c:pt>
                <c:pt idx="222">
                  <c:v>100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100</c:v>
                </c:pt>
                <c:pt idx="351">
                  <c:v>100</c:v>
                </c:pt>
                <c:pt idx="352">
                  <c:v>100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100</c:v>
                </c:pt>
                <c:pt idx="357">
                  <c:v>100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99.625</c:v>
                </c:pt>
                <c:pt idx="362">
                  <c:v>99.25</c:v>
                </c:pt>
                <c:pt idx="363">
                  <c:v>98.875</c:v>
                </c:pt>
                <c:pt idx="364">
                  <c:v>98.5</c:v>
                </c:pt>
                <c:pt idx="365">
                  <c:v>98.125</c:v>
                </c:pt>
                <c:pt idx="366">
                  <c:v>97.75</c:v>
                </c:pt>
                <c:pt idx="367">
                  <c:v>97.375</c:v>
                </c:pt>
                <c:pt idx="368">
                  <c:v>97</c:v>
                </c:pt>
                <c:pt idx="369">
                  <c:v>96.625</c:v>
                </c:pt>
                <c:pt idx="370">
                  <c:v>96.25</c:v>
                </c:pt>
                <c:pt idx="371">
                  <c:v>95.875</c:v>
                </c:pt>
                <c:pt idx="372">
                  <c:v>95.5</c:v>
                </c:pt>
                <c:pt idx="373">
                  <c:v>95.125</c:v>
                </c:pt>
                <c:pt idx="374">
                  <c:v>94.75</c:v>
                </c:pt>
                <c:pt idx="375">
                  <c:v>94.375</c:v>
                </c:pt>
                <c:pt idx="376">
                  <c:v>94</c:v>
                </c:pt>
                <c:pt idx="377">
                  <c:v>93.625</c:v>
                </c:pt>
                <c:pt idx="378">
                  <c:v>93.25</c:v>
                </c:pt>
                <c:pt idx="379">
                  <c:v>92.875</c:v>
                </c:pt>
                <c:pt idx="380">
                  <c:v>92.5</c:v>
                </c:pt>
                <c:pt idx="381">
                  <c:v>92.125</c:v>
                </c:pt>
                <c:pt idx="382">
                  <c:v>91.75</c:v>
                </c:pt>
                <c:pt idx="383">
                  <c:v>91.375</c:v>
                </c:pt>
                <c:pt idx="384">
                  <c:v>91</c:v>
                </c:pt>
                <c:pt idx="385">
                  <c:v>90.625</c:v>
                </c:pt>
                <c:pt idx="386">
                  <c:v>90.25</c:v>
                </c:pt>
                <c:pt idx="387">
                  <c:v>89.875</c:v>
                </c:pt>
                <c:pt idx="388">
                  <c:v>89.5</c:v>
                </c:pt>
                <c:pt idx="389">
                  <c:v>89.125</c:v>
                </c:pt>
                <c:pt idx="390">
                  <c:v>88.75</c:v>
                </c:pt>
                <c:pt idx="391">
                  <c:v>88.375</c:v>
                </c:pt>
                <c:pt idx="392">
                  <c:v>88</c:v>
                </c:pt>
                <c:pt idx="393">
                  <c:v>87.625</c:v>
                </c:pt>
                <c:pt idx="394">
                  <c:v>87.25</c:v>
                </c:pt>
                <c:pt idx="395">
                  <c:v>86.875</c:v>
                </c:pt>
                <c:pt idx="396">
                  <c:v>86.5</c:v>
                </c:pt>
                <c:pt idx="397">
                  <c:v>86.125</c:v>
                </c:pt>
                <c:pt idx="398">
                  <c:v>85.75</c:v>
                </c:pt>
                <c:pt idx="399">
                  <c:v>85.375</c:v>
                </c:pt>
                <c:pt idx="400">
                  <c:v>85</c:v>
                </c:pt>
                <c:pt idx="401">
                  <c:v>84.875</c:v>
                </c:pt>
                <c:pt idx="402">
                  <c:v>84.75</c:v>
                </c:pt>
                <c:pt idx="403">
                  <c:v>84.625</c:v>
                </c:pt>
                <c:pt idx="404">
                  <c:v>84.5</c:v>
                </c:pt>
                <c:pt idx="405">
                  <c:v>84.375</c:v>
                </c:pt>
                <c:pt idx="406">
                  <c:v>84.25</c:v>
                </c:pt>
                <c:pt idx="407">
                  <c:v>84.125</c:v>
                </c:pt>
                <c:pt idx="408">
                  <c:v>84</c:v>
                </c:pt>
                <c:pt idx="409">
                  <c:v>83.875</c:v>
                </c:pt>
                <c:pt idx="410">
                  <c:v>83.75</c:v>
                </c:pt>
                <c:pt idx="411">
                  <c:v>83.625</c:v>
                </c:pt>
                <c:pt idx="412">
                  <c:v>83.5</c:v>
                </c:pt>
                <c:pt idx="413">
                  <c:v>83.375</c:v>
                </c:pt>
                <c:pt idx="414">
                  <c:v>83.25</c:v>
                </c:pt>
                <c:pt idx="415">
                  <c:v>83.125</c:v>
                </c:pt>
                <c:pt idx="416">
                  <c:v>83</c:v>
                </c:pt>
                <c:pt idx="417">
                  <c:v>82.875</c:v>
                </c:pt>
                <c:pt idx="418">
                  <c:v>82.75</c:v>
                </c:pt>
                <c:pt idx="419">
                  <c:v>82.625</c:v>
                </c:pt>
                <c:pt idx="420">
                  <c:v>82.5</c:v>
                </c:pt>
                <c:pt idx="421">
                  <c:v>82.375</c:v>
                </c:pt>
                <c:pt idx="422">
                  <c:v>82.25</c:v>
                </c:pt>
                <c:pt idx="423">
                  <c:v>82.125</c:v>
                </c:pt>
                <c:pt idx="424">
                  <c:v>82</c:v>
                </c:pt>
                <c:pt idx="425">
                  <c:v>81.875</c:v>
                </c:pt>
                <c:pt idx="426">
                  <c:v>81.75</c:v>
                </c:pt>
                <c:pt idx="427">
                  <c:v>81.625</c:v>
                </c:pt>
                <c:pt idx="428">
                  <c:v>81.5</c:v>
                </c:pt>
                <c:pt idx="429">
                  <c:v>81.375</c:v>
                </c:pt>
                <c:pt idx="430">
                  <c:v>81.25</c:v>
                </c:pt>
                <c:pt idx="431">
                  <c:v>81.125</c:v>
                </c:pt>
                <c:pt idx="432">
                  <c:v>81</c:v>
                </c:pt>
                <c:pt idx="433">
                  <c:v>80.875</c:v>
                </c:pt>
                <c:pt idx="434">
                  <c:v>80.75</c:v>
                </c:pt>
                <c:pt idx="435">
                  <c:v>80.625</c:v>
                </c:pt>
                <c:pt idx="436">
                  <c:v>80.5</c:v>
                </c:pt>
                <c:pt idx="437">
                  <c:v>80.375</c:v>
                </c:pt>
                <c:pt idx="438">
                  <c:v>80.25</c:v>
                </c:pt>
                <c:pt idx="439">
                  <c:v>80.125</c:v>
                </c:pt>
                <c:pt idx="440">
                  <c:v>80</c:v>
                </c:pt>
                <c:pt idx="441">
                  <c:v>79.875</c:v>
                </c:pt>
                <c:pt idx="442">
                  <c:v>79.75</c:v>
                </c:pt>
                <c:pt idx="443">
                  <c:v>79.625</c:v>
                </c:pt>
                <c:pt idx="444">
                  <c:v>79.5</c:v>
                </c:pt>
                <c:pt idx="445">
                  <c:v>79.375</c:v>
                </c:pt>
                <c:pt idx="446">
                  <c:v>79.25</c:v>
                </c:pt>
                <c:pt idx="447">
                  <c:v>79.125</c:v>
                </c:pt>
                <c:pt idx="448">
                  <c:v>79</c:v>
                </c:pt>
                <c:pt idx="449">
                  <c:v>78.875</c:v>
                </c:pt>
                <c:pt idx="450">
                  <c:v>78.75</c:v>
                </c:pt>
                <c:pt idx="451">
                  <c:v>78.625</c:v>
                </c:pt>
                <c:pt idx="452">
                  <c:v>78.5</c:v>
                </c:pt>
                <c:pt idx="453">
                  <c:v>78.375</c:v>
                </c:pt>
                <c:pt idx="454">
                  <c:v>78.25</c:v>
                </c:pt>
                <c:pt idx="455">
                  <c:v>78.125</c:v>
                </c:pt>
                <c:pt idx="456">
                  <c:v>78</c:v>
                </c:pt>
                <c:pt idx="457">
                  <c:v>77.875</c:v>
                </c:pt>
                <c:pt idx="458">
                  <c:v>77.75</c:v>
                </c:pt>
                <c:pt idx="459">
                  <c:v>77.625</c:v>
                </c:pt>
                <c:pt idx="460">
                  <c:v>77.5</c:v>
                </c:pt>
                <c:pt idx="461">
                  <c:v>77.375</c:v>
                </c:pt>
                <c:pt idx="462">
                  <c:v>77.25</c:v>
                </c:pt>
                <c:pt idx="463">
                  <c:v>77.125</c:v>
                </c:pt>
                <c:pt idx="464">
                  <c:v>77</c:v>
                </c:pt>
                <c:pt idx="465">
                  <c:v>76.875</c:v>
                </c:pt>
                <c:pt idx="466">
                  <c:v>76.75</c:v>
                </c:pt>
                <c:pt idx="467">
                  <c:v>76.625</c:v>
                </c:pt>
                <c:pt idx="468">
                  <c:v>76.5</c:v>
                </c:pt>
                <c:pt idx="469">
                  <c:v>76.375</c:v>
                </c:pt>
                <c:pt idx="470">
                  <c:v>76.25</c:v>
                </c:pt>
                <c:pt idx="471">
                  <c:v>76.125</c:v>
                </c:pt>
                <c:pt idx="472">
                  <c:v>76</c:v>
                </c:pt>
                <c:pt idx="473">
                  <c:v>75.875</c:v>
                </c:pt>
                <c:pt idx="474">
                  <c:v>75.75</c:v>
                </c:pt>
                <c:pt idx="475">
                  <c:v>75.625</c:v>
                </c:pt>
                <c:pt idx="476">
                  <c:v>75.5</c:v>
                </c:pt>
                <c:pt idx="477">
                  <c:v>75.375</c:v>
                </c:pt>
                <c:pt idx="478">
                  <c:v>75.25</c:v>
                </c:pt>
                <c:pt idx="479">
                  <c:v>75.125</c:v>
                </c:pt>
                <c:pt idx="480">
                  <c:v>75</c:v>
                </c:pt>
                <c:pt idx="481">
                  <c:v>74.625</c:v>
                </c:pt>
                <c:pt idx="482">
                  <c:v>74.25</c:v>
                </c:pt>
                <c:pt idx="483">
                  <c:v>73.875</c:v>
                </c:pt>
                <c:pt idx="484">
                  <c:v>73.5</c:v>
                </c:pt>
                <c:pt idx="485">
                  <c:v>73.125</c:v>
                </c:pt>
                <c:pt idx="486">
                  <c:v>72.75</c:v>
                </c:pt>
                <c:pt idx="487">
                  <c:v>72.375</c:v>
                </c:pt>
                <c:pt idx="488">
                  <c:v>72</c:v>
                </c:pt>
                <c:pt idx="489">
                  <c:v>71.625</c:v>
                </c:pt>
                <c:pt idx="490">
                  <c:v>71.25</c:v>
                </c:pt>
                <c:pt idx="491">
                  <c:v>70.875</c:v>
                </c:pt>
                <c:pt idx="492">
                  <c:v>70.5</c:v>
                </c:pt>
                <c:pt idx="493">
                  <c:v>70.125</c:v>
                </c:pt>
                <c:pt idx="494">
                  <c:v>69.75</c:v>
                </c:pt>
                <c:pt idx="495">
                  <c:v>69.375</c:v>
                </c:pt>
                <c:pt idx="496">
                  <c:v>69</c:v>
                </c:pt>
                <c:pt idx="497">
                  <c:v>68.625</c:v>
                </c:pt>
                <c:pt idx="498">
                  <c:v>68.25</c:v>
                </c:pt>
                <c:pt idx="499">
                  <c:v>67.875</c:v>
                </c:pt>
                <c:pt idx="500">
                  <c:v>67.5</c:v>
                </c:pt>
                <c:pt idx="501">
                  <c:v>67.125</c:v>
                </c:pt>
                <c:pt idx="502">
                  <c:v>66.75</c:v>
                </c:pt>
                <c:pt idx="503">
                  <c:v>66.375</c:v>
                </c:pt>
                <c:pt idx="504">
                  <c:v>66</c:v>
                </c:pt>
                <c:pt idx="505">
                  <c:v>65.625</c:v>
                </c:pt>
                <c:pt idx="506">
                  <c:v>65.25</c:v>
                </c:pt>
                <c:pt idx="507">
                  <c:v>64.875</c:v>
                </c:pt>
                <c:pt idx="508">
                  <c:v>64.5</c:v>
                </c:pt>
                <c:pt idx="509">
                  <c:v>64.125</c:v>
                </c:pt>
                <c:pt idx="510">
                  <c:v>63.75</c:v>
                </c:pt>
                <c:pt idx="511">
                  <c:v>63.375</c:v>
                </c:pt>
                <c:pt idx="512">
                  <c:v>63</c:v>
                </c:pt>
                <c:pt idx="513">
                  <c:v>62.625</c:v>
                </c:pt>
                <c:pt idx="514">
                  <c:v>62.25</c:v>
                </c:pt>
                <c:pt idx="515">
                  <c:v>61.875</c:v>
                </c:pt>
                <c:pt idx="516">
                  <c:v>61.5</c:v>
                </c:pt>
                <c:pt idx="517">
                  <c:v>61.125</c:v>
                </c:pt>
                <c:pt idx="518">
                  <c:v>60.75</c:v>
                </c:pt>
                <c:pt idx="519">
                  <c:v>60.375</c:v>
                </c:pt>
                <c:pt idx="520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AA7-4197-95DD-482239C41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220368"/>
        <c:axId val="390642272"/>
      </c:scatterChart>
      <c:valAx>
        <c:axId val="558090472"/>
        <c:scaling>
          <c:orientation val="minMax"/>
        </c:scaling>
        <c:delete val="0"/>
        <c:axPos val="b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cs-CZ" sz="1400"/>
                  <a:t>time</a:t>
                </a:r>
                <a:r>
                  <a:rPr lang="en-US" sz="1400"/>
                  <a:t> (min)</a:t>
                </a:r>
              </a:p>
            </c:rich>
          </c:tx>
          <c:layout>
            <c:manualLayout>
              <c:xMode val="edge"/>
              <c:yMode val="edge"/>
              <c:x val="0.4562659047996816"/>
              <c:y val="0.9227929298131011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558094408"/>
        <c:crosses val="autoZero"/>
        <c:crossBetween val="midCat"/>
      </c:valAx>
      <c:valAx>
        <c:axId val="558094408"/>
        <c:scaling>
          <c:orientation val="minMax"/>
          <c:min val="0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cs-CZ" sz="1200" b="0"/>
                  <a:t>IBU</a:t>
                </a:r>
                <a:r>
                  <a:rPr lang="en-US" sz="1200" b="0"/>
                  <a:t> (mg/L)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400"/>
            </a:pPr>
            <a:endParaRPr lang="en-US"/>
          </a:p>
        </c:txPr>
        <c:crossAx val="558090472"/>
        <c:crosses val="autoZero"/>
        <c:crossBetween val="midCat"/>
      </c:valAx>
      <c:valAx>
        <c:axId val="39064227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teplota (°C)</a:t>
                </a:r>
              </a:p>
            </c:rich>
          </c:tx>
          <c:layout>
            <c:manualLayout>
              <c:xMode val="edge"/>
              <c:yMode val="edge"/>
              <c:x val="0.95930314027897401"/>
              <c:y val="0.38971307771567382"/>
            </c:manualLayout>
          </c:layout>
          <c:overlay val="0"/>
        </c:title>
        <c:numFmt formatCode="0.0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554220368"/>
        <c:crosses val="max"/>
        <c:crossBetween val="midCat"/>
      </c:valAx>
      <c:valAx>
        <c:axId val="55422036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90642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6901227151806397"/>
          <c:y val="0.6337862574328097"/>
          <c:w val="0.14368947130737286"/>
          <c:h val="0.1836926601945035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diversity-pivo.blogspot.com/" TargetMode="Externa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237192</xdr:colOff>
      <xdr:row>16</xdr:row>
      <xdr:rowOff>33561</xdr:rowOff>
    </xdr:from>
    <xdr:to>
      <xdr:col>33</xdr:col>
      <xdr:colOff>184337</xdr:colOff>
      <xdr:row>45</xdr:row>
      <xdr:rowOff>105335</xdr:rowOff>
    </xdr:to>
    <xdr:graphicFrame macro="">
      <xdr:nvGraphicFramePr>
        <xdr:cNvPr id="1034" name="Graf 1033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142862</xdr:colOff>
      <xdr:row>3</xdr:row>
      <xdr:rowOff>139310</xdr:rowOff>
    </xdr:from>
    <xdr:to>
      <xdr:col>13</xdr:col>
      <xdr:colOff>428625</xdr:colOff>
      <xdr:row>25</xdr:row>
      <xdr:rowOff>15128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20</xdr:row>
          <xdr:rowOff>66675</xdr:rowOff>
        </xdr:from>
        <xdr:to>
          <xdr:col>12</xdr:col>
          <xdr:colOff>19050</xdr:colOff>
          <xdr:row>25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Calculate!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(c) Petr Novotný, 2016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200026</xdr:colOff>
      <xdr:row>0</xdr:row>
      <xdr:rowOff>85725</xdr:rowOff>
    </xdr:from>
    <xdr:to>
      <xdr:col>3</xdr:col>
      <xdr:colOff>314325</xdr:colOff>
      <xdr:row>2</xdr:row>
      <xdr:rowOff>90765</xdr:rowOff>
    </xdr:to>
    <xdr:pic>
      <xdr:nvPicPr>
        <xdr:cNvPr id="2" name="Obrázek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6" y="85725"/>
          <a:ext cx="1924049" cy="6336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1:GO2482"/>
  <sheetViews>
    <sheetView tabSelected="1" zoomScaleNormal="100" workbookViewId="0">
      <selection activeCell="I1" sqref="I1"/>
    </sheetView>
  </sheetViews>
  <sheetFormatPr defaultRowHeight="15" x14ac:dyDescent="0.25"/>
  <cols>
    <col min="1" max="1" width="3.7109375" style="34" customWidth="1"/>
    <col min="2" max="2" width="6" style="34" customWidth="1"/>
    <col min="3" max="3" width="21.140625" style="34" customWidth="1"/>
    <col min="4" max="4" width="5" style="34" customWidth="1"/>
    <col min="5" max="6" width="9.140625" style="34"/>
    <col min="7" max="7" width="7.42578125" style="36" customWidth="1"/>
    <col min="8" max="8" width="7.140625" style="36" customWidth="1"/>
    <col min="9" max="9" width="9.42578125" style="34" customWidth="1"/>
    <col min="10" max="10" width="6.5703125" style="34" customWidth="1"/>
    <col min="11" max="11" width="10.5703125" style="34" customWidth="1"/>
    <col min="12" max="12" width="12.5703125" style="34" customWidth="1"/>
    <col min="13" max="13" width="96" style="34" customWidth="1"/>
    <col min="14" max="14" width="9.140625" style="34"/>
    <col min="15" max="15" width="9.7109375" style="44" bestFit="1" customWidth="1"/>
    <col min="16" max="16" width="9.140625" style="13"/>
    <col min="17" max="17" width="10" style="11" customWidth="1"/>
    <col min="18" max="18" width="9.42578125" style="12" customWidth="1"/>
    <col min="19" max="19" width="9.140625" style="45"/>
    <col min="20" max="20" width="9.140625" style="12"/>
    <col min="21" max="21" width="9.140625" style="52"/>
    <col min="22" max="23" width="9.140625" style="34"/>
    <col min="24" max="24" width="14.5703125" style="34" customWidth="1"/>
    <col min="25" max="31" width="9.140625" style="34"/>
    <col min="32" max="32" width="12.7109375" style="34" customWidth="1"/>
    <col min="33" max="197" width="9.140625" style="34"/>
    <col min="198" max="16384" width="9.140625" style="1"/>
  </cols>
  <sheetData>
    <row r="1" spans="2:33" ht="33.75" customHeight="1" thickBot="1" x14ac:dyDescent="0.3">
      <c r="G1" s="34"/>
      <c r="H1" s="34"/>
      <c r="J1" s="110" t="s">
        <v>87</v>
      </c>
      <c r="K1" s="110"/>
      <c r="L1" s="110"/>
      <c r="M1" s="110"/>
      <c r="O1" s="26" t="s">
        <v>88</v>
      </c>
      <c r="P1" s="92" t="s">
        <v>89</v>
      </c>
      <c r="Q1" s="26" t="s">
        <v>5</v>
      </c>
      <c r="R1" s="27" t="s">
        <v>6</v>
      </c>
      <c r="S1" s="48" t="s">
        <v>7</v>
      </c>
      <c r="T1" s="27" t="s">
        <v>3</v>
      </c>
      <c r="U1" s="50" t="s">
        <v>0</v>
      </c>
    </row>
    <row r="2" spans="2:33" ht="15.75" customHeight="1" thickBot="1" x14ac:dyDescent="0.3">
      <c r="E2" s="95" t="s">
        <v>78</v>
      </c>
      <c r="F2" s="96"/>
      <c r="G2" s="2">
        <v>20</v>
      </c>
      <c r="H2" s="34"/>
      <c r="J2" s="110"/>
      <c r="K2" s="110"/>
      <c r="L2" s="110"/>
      <c r="M2" s="110"/>
      <c r="O2" s="84">
        <f>90-P2</f>
        <v>90</v>
      </c>
      <c r="P2" s="46">
        <v>0</v>
      </c>
      <c r="Q2" s="49">
        <v>71</v>
      </c>
      <c r="R2" s="18">
        <v>0</v>
      </c>
      <c r="S2" s="47">
        <v>0</v>
      </c>
      <c r="T2" s="18">
        <v>70</v>
      </c>
      <c r="U2" s="51">
        <v>0</v>
      </c>
      <c r="W2" s="37"/>
      <c r="X2" s="109"/>
      <c r="Y2" s="109"/>
      <c r="Z2" s="37"/>
      <c r="AA2" s="37"/>
      <c r="AB2" s="37"/>
      <c r="AC2" s="37"/>
      <c r="AD2" s="37"/>
      <c r="AE2" s="37"/>
      <c r="AF2" s="37"/>
      <c r="AG2" s="37"/>
    </row>
    <row r="3" spans="2:33" ht="15.75" customHeight="1" thickBot="1" x14ac:dyDescent="0.3">
      <c r="E3" s="97" t="s">
        <v>79</v>
      </c>
      <c r="F3" s="98"/>
      <c r="G3" s="4">
        <v>14</v>
      </c>
      <c r="H3" s="34"/>
      <c r="I3" s="82"/>
      <c r="J3" s="110"/>
      <c r="K3" s="110"/>
      <c r="L3" s="110"/>
      <c r="M3" s="110"/>
      <c r="O3" s="84">
        <f t="shared" ref="O3:O66" si="0">90-P3</f>
        <v>89.75</v>
      </c>
      <c r="P3" s="46">
        <v>0.25</v>
      </c>
      <c r="Q3" s="49">
        <v>70.97699921595941</v>
      </c>
      <c r="R3" s="18">
        <v>2.3000784040584289E-2</v>
      </c>
      <c r="S3" s="47">
        <v>0</v>
      </c>
      <c r="T3" s="18">
        <v>70.375</v>
      </c>
      <c r="U3" s="51">
        <v>1.0768047056439942E-2</v>
      </c>
      <c r="W3" s="37"/>
      <c r="X3" s="109"/>
      <c r="Y3" s="109"/>
      <c r="Z3" s="37"/>
      <c r="AA3" s="37"/>
      <c r="AB3" s="37"/>
      <c r="AC3" s="37"/>
      <c r="AD3" s="37"/>
      <c r="AE3" s="37"/>
      <c r="AF3" s="37"/>
      <c r="AG3" s="37"/>
    </row>
    <row r="4" spans="2:33" ht="15.75" thickBot="1" x14ac:dyDescent="0.3">
      <c r="G4" s="34"/>
      <c r="H4" s="34"/>
      <c r="K4" s="38"/>
      <c r="L4" s="37"/>
      <c r="O4" s="84">
        <f t="shared" si="0"/>
        <v>89.5</v>
      </c>
      <c r="P4" s="46">
        <v>0.5</v>
      </c>
      <c r="Q4" s="49">
        <v>70.953121950081112</v>
      </c>
      <c r="R4" s="18">
        <v>4.6875332722852769E-2</v>
      </c>
      <c r="S4" s="47">
        <v>2.7171960266379431E-6</v>
      </c>
      <c r="T4" s="18">
        <v>70.75</v>
      </c>
      <c r="U4" s="51">
        <v>2.1945155767530752E-2</v>
      </c>
      <c r="W4" s="37"/>
      <c r="X4" s="93"/>
      <c r="Y4" s="59"/>
      <c r="Z4" s="37"/>
      <c r="AA4" s="37"/>
      <c r="AB4" s="37"/>
      <c r="AC4" s="37"/>
      <c r="AD4" s="37"/>
      <c r="AE4" s="37"/>
      <c r="AF4" s="37"/>
      <c r="AG4" s="37"/>
    </row>
    <row r="5" spans="2:33" ht="15.75" thickBot="1" x14ac:dyDescent="0.3">
      <c r="B5" s="19" t="s">
        <v>80</v>
      </c>
      <c r="C5" s="19" t="s">
        <v>81</v>
      </c>
      <c r="D5" s="20" t="s">
        <v>82</v>
      </c>
      <c r="E5" s="20" t="s">
        <v>1</v>
      </c>
      <c r="F5" s="20" t="s">
        <v>2</v>
      </c>
      <c r="G5" s="21" t="s">
        <v>3</v>
      </c>
      <c r="H5" s="20" t="s">
        <v>0</v>
      </c>
      <c r="I5" s="21" t="s">
        <v>73</v>
      </c>
      <c r="K5" s="99" t="s">
        <v>83</v>
      </c>
      <c r="L5" s="100"/>
      <c r="M5" s="37"/>
      <c r="O5" s="84">
        <f t="shared" si="0"/>
        <v>89.25</v>
      </c>
      <c r="P5" s="46">
        <v>0.75</v>
      </c>
      <c r="Q5" s="49">
        <v>70.928337150483074</v>
      </c>
      <c r="R5" s="18">
        <v>7.1654361525493121E-2</v>
      </c>
      <c r="S5" s="47">
        <v>8.4879914284514818E-6</v>
      </c>
      <c r="T5" s="18">
        <v>71.125</v>
      </c>
      <c r="U5" s="51">
        <v>3.3545705891774857E-2</v>
      </c>
      <c r="W5" s="37"/>
      <c r="X5" s="93"/>
      <c r="Y5" s="59"/>
      <c r="Z5" s="37"/>
      <c r="AA5" s="37"/>
      <c r="AB5" s="37"/>
      <c r="AC5" s="37"/>
      <c r="AD5" s="37"/>
      <c r="AE5" s="37"/>
      <c r="AF5" s="37"/>
      <c r="AG5" s="37"/>
    </row>
    <row r="6" spans="2:33" ht="15.75" customHeight="1" thickBot="1" x14ac:dyDescent="0.3">
      <c r="B6" s="3">
        <v>90</v>
      </c>
      <c r="C6" s="6" t="s">
        <v>14</v>
      </c>
      <c r="D6" s="7" t="s">
        <v>72</v>
      </c>
      <c r="E6" s="7">
        <v>15</v>
      </c>
      <c r="F6" s="71">
        <f>IF(C6=hops!$B$2,0,find_c(C6,"hops","B2:B1000",2)/100)</f>
        <v>9.5000000000000001E-2</v>
      </c>
      <c r="G6" s="16">
        <v>70</v>
      </c>
      <c r="H6" s="76">
        <v>17.075000307042174</v>
      </c>
      <c r="I6" s="72">
        <f t="shared" ref="I6:I69" si="1">IF((H6)="-","-",H6/$K$13)</f>
        <v>0.34177203192576466</v>
      </c>
      <c r="K6" s="107">
        <f>COUNT(B6:B331)</f>
        <v>10</v>
      </c>
      <c r="L6" s="108"/>
      <c r="M6" s="37"/>
      <c r="N6" s="58"/>
      <c r="O6" s="84">
        <f t="shared" si="0"/>
        <v>89</v>
      </c>
      <c r="P6" s="46">
        <v>1</v>
      </c>
      <c r="Q6" s="49">
        <v>70.902612764916427</v>
      </c>
      <c r="R6" s="18">
        <v>9.7369555136835775E-2</v>
      </c>
      <c r="S6" s="47">
        <v>1.7679946737268996E-5</v>
      </c>
      <c r="T6" s="18">
        <v>71.5</v>
      </c>
      <c r="U6" s="51">
        <v>4.5584530932861037E-2</v>
      </c>
      <c r="W6" s="37"/>
      <c r="X6" s="94"/>
      <c r="Y6" s="59"/>
      <c r="Z6" s="37"/>
      <c r="AA6" s="37"/>
      <c r="AB6" s="37"/>
      <c r="AC6" s="37"/>
      <c r="AD6" s="37"/>
      <c r="AE6" s="37"/>
      <c r="AF6" s="37"/>
      <c r="AG6" s="37"/>
    </row>
    <row r="7" spans="2:33" x14ac:dyDescent="0.25">
      <c r="B7" s="6">
        <v>80</v>
      </c>
      <c r="C7" s="6" t="s">
        <v>11</v>
      </c>
      <c r="D7" s="7" t="s">
        <v>72</v>
      </c>
      <c r="E7" s="7"/>
      <c r="F7" s="71">
        <f>IF(C7=hops!$B$2,0,find_c(C7,"hops","B2:B1000",2)/100)</f>
        <v>0</v>
      </c>
      <c r="G7" s="16">
        <v>85</v>
      </c>
      <c r="H7" s="77">
        <v>0</v>
      </c>
      <c r="I7" s="73">
        <f t="shared" si="1"/>
        <v>0</v>
      </c>
      <c r="J7" s="39"/>
      <c r="L7" s="40"/>
      <c r="M7" s="40"/>
      <c r="N7" s="58"/>
      <c r="O7" s="84">
        <f t="shared" si="0"/>
        <v>88.75</v>
      </c>
      <c r="P7" s="46">
        <v>1.25</v>
      </c>
      <c r="Q7" s="49">
        <v>70.875915713040982</v>
      </c>
      <c r="R7" s="18">
        <v>0.12405359263108451</v>
      </c>
      <c r="S7" s="47">
        <v>3.0694327936829718E-5</v>
      </c>
      <c r="T7" s="18">
        <v>71.875</v>
      </c>
      <c r="U7" s="51">
        <v>5.8076929926168523E-2</v>
      </c>
      <c r="W7" s="37"/>
      <c r="X7" s="93"/>
      <c r="Y7" s="59"/>
      <c r="Z7" s="37"/>
      <c r="AA7" s="37"/>
      <c r="AB7" s="37"/>
      <c r="AC7" s="37"/>
      <c r="AD7" s="37"/>
      <c r="AE7" s="37"/>
      <c r="AF7" s="37"/>
      <c r="AG7" s="37"/>
    </row>
    <row r="8" spans="2:33" ht="15.75" thickBot="1" x14ac:dyDescent="0.3">
      <c r="B8" s="6">
        <v>70</v>
      </c>
      <c r="C8" s="6" t="s">
        <v>11</v>
      </c>
      <c r="D8" s="7" t="s">
        <v>72</v>
      </c>
      <c r="E8" s="7"/>
      <c r="F8" s="71">
        <f>IF(C8=hops!$B$2,0,find_c(C8,"hops","B2:B1000",2)/100)</f>
        <v>0</v>
      </c>
      <c r="G8" s="16">
        <v>95</v>
      </c>
      <c r="H8" s="77">
        <v>0</v>
      </c>
      <c r="I8" s="73">
        <f t="shared" si="1"/>
        <v>0</v>
      </c>
      <c r="J8" s="39"/>
      <c r="L8" s="40"/>
      <c r="M8" s="40"/>
      <c r="N8" s="58"/>
      <c r="O8" s="84">
        <f t="shared" si="0"/>
        <v>88.5</v>
      </c>
      <c r="P8" s="46">
        <v>1.5</v>
      </c>
      <c r="Q8" s="49">
        <v>70.848211858162998</v>
      </c>
      <c r="R8" s="18">
        <v>0.15174017298946918</v>
      </c>
      <c r="S8" s="47">
        <v>4.7968847535216242E-5</v>
      </c>
      <c r="T8" s="18">
        <v>72.25</v>
      </c>
      <c r="U8" s="51">
        <v>7.1038679386749889E-2</v>
      </c>
      <c r="W8" s="37"/>
      <c r="X8" s="93"/>
      <c r="Y8" s="59"/>
      <c r="Z8" s="37"/>
      <c r="AA8" s="37"/>
      <c r="AB8" s="37"/>
      <c r="AC8" s="37"/>
      <c r="AD8" s="37"/>
      <c r="AE8" s="37"/>
      <c r="AF8" s="37"/>
      <c r="AG8" s="37"/>
    </row>
    <row r="9" spans="2:33" ht="15.75" thickBot="1" x14ac:dyDescent="0.3">
      <c r="B9" s="6">
        <v>60</v>
      </c>
      <c r="C9" s="6" t="s">
        <v>14</v>
      </c>
      <c r="D9" s="7" t="s">
        <v>72</v>
      </c>
      <c r="E9" s="7">
        <v>10</v>
      </c>
      <c r="F9" s="71">
        <f>IF(C9=hops!$B$2,0,find_c(C9,"hops","B2:B1000",2)/100)</f>
        <v>9.5000000000000001E-2</v>
      </c>
      <c r="G9" s="16">
        <v>100</v>
      </c>
      <c r="H9" s="77">
        <v>11.74617611211702</v>
      </c>
      <c r="I9" s="73">
        <f t="shared" si="1"/>
        <v>0.23511065329471309</v>
      </c>
      <c r="K9" s="101" t="s">
        <v>84</v>
      </c>
      <c r="L9" s="102"/>
      <c r="M9" s="40"/>
      <c r="N9" s="58"/>
      <c r="O9" s="84">
        <f t="shared" si="0"/>
        <v>88.25</v>
      </c>
      <c r="P9" s="46">
        <v>1.75</v>
      </c>
      <c r="Q9" s="49">
        <v>70.81946597843914</v>
      </c>
      <c r="R9" s="18">
        <v>0.18046404094873628</v>
      </c>
      <c r="S9" s="47">
        <v>6.998061212107997E-5</v>
      </c>
      <c r="T9" s="18">
        <v>72.625</v>
      </c>
      <c r="U9" s="51">
        <v>8.4486045410560373E-2</v>
      </c>
      <c r="W9" s="37"/>
      <c r="X9" s="93"/>
      <c r="Y9" s="59"/>
      <c r="Z9" s="37"/>
      <c r="AA9" s="37"/>
      <c r="AB9" s="37"/>
      <c r="AC9" s="37"/>
      <c r="AD9" s="37"/>
      <c r="AE9" s="37"/>
      <c r="AF9" s="37"/>
      <c r="AG9" s="37"/>
    </row>
    <row r="10" spans="2:33" ht="15.75" thickBot="1" x14ac:dyDescent="0.3">
      <c r="B10" s="6">
        <v>30</v>
      </c>
      <c r="C10" s="6" t="s">
        <v>14</v>
      </c>
      <c r="D10" s="7" t="s">
        <v>72</v>
      </c>
      <c r="E10" s="7">
        <v>10</v>
      </c>
      <c r="F10" s="71">
        <f>IF(C10=hops!$B$2,0,find_c(C10,"hops","B2:B1000",2)/100)</f>
        <v>9.5000000000000001E-2</v>
      </c>
      <c r="G10" s="16">
        <v>100</v>
      </c>
      <c r="H10" s="77">
        <v>10.367429840636078</v>
      </c>
      <c r="I10" s="73">
        <f t="shared" si="1"/>
        <v>0.20751376273888855</v>
      </c>
      <c r="K10" s="54" t="s">
        <v>4</v>
      </c>
      <c r="L10" s="55" t="s">
        <v>85</v>
      </c>
      <c r="M10" s="40"/>
      <c r="N10" s="58"/>
      <c r="O10" s="84">
        <f t="shared" si="0"/>
        <v>88</v>
      </c>
      <c r="P10" s="46">
        <v>2</v>
      </c>
      <c r="Q10" s="49">
        <v>70.789641737551776</v>
      </c>
      <c r="R10" s="18">
        <v>0.21026101315722506</v>
      </c>
      <c r="S10" s="47">
        <v>9.7249290991382523E-5</v>
      </c>
      <c r="T10" s="18">
        <v>73</v>
      </c>
      <c r="U10" s="51">
        <v>9.8435795919686486E-2</v>
      </c>
      <c r="W10" s="37"/>
      <c r="X10" s="93"/>
      <c r="Y10" s="59"/>
      <c r="Z10" s="37"/>
      <c r="AA10" s="37"/>
      <c r="AB10" s="37"/>
      <c r="AC10" s="37"/>
      <c r="AD10" s="37"/>
      <c r="AE10" s="37"/>
      <c r="AF10" s="37"/>
      <c r="AG10" s="37"/>
    </row>
    <row r="11" spans="2:33" ht="15.75" thickBot="1" x14ac:dyDescent="0.3">
      <c r="B11" s="6">
        <v>5</v>
      </c>
      <c r="C11" s="6" t="s">
        <v>14</v>
      </c>
      <c r="D11" s="7" t="s">
        <v>72</v>
      </c>
      <c r="E11" s="7">
        <v>10</v>
      </c>
      <c r="F11" s="71">
        <f>IF(C11=hops!$B$2,0,find_c(C11,"hops","B2:B1000",2)/100)</f>
        <v>9.5000000000000001E-2</v>
      </c>
      <c r="G11" s="16">
        <v>100</v>
      </c>
      <c r="H11" s="77">
        <v>5.5529123094592876</v>
      </c>
      <c r="I11" s="73">
        <f t="shared" si="1"/>
        <v>0.11114671092139171</v>
      </c>
      <c r="K11" s="14">
        <v>106.71608770761948</v>
      </c>
      <c r="L11" s="15">
        <v>210.61003791281817</v>
      </c>
      <c r="M11" s="40"/>
      <c r="N11" s="58"/>
      <c r="O11" s="84">
        <f t="shared" si="0"/>
        <v>87.75</v>
      </c>
      <c r="P11" s="46">
        <v>2.25</v>
      </c>
      <c r="Q11" s="49">
        <v>70.758701654862136</v>
      </c>
      <c r="R11" s="18">
        <v>0.24116800461645171</v>
      </c>
      <c r="S11" s="47">
        <v>1.3034052140139667E-4</v>
      </c>
      <c r="T11" s="18">
        <v>73.375</v>
      </c>
      <c r="U11" s="51">
        <v>0.11290521304123803</v>
      </c>
      <c r="W11" s="37"/>
      <c r="X11" s="93"/>
      <c r="Y11" s="59"/>
      <c r="Z11" s="37"/>
      <c r="AA11" s="37"/>
      <c r="AB11" s="37"/>
      <c r="AC11" s="37"/>
      <c r="AD11" s="37"/>
      <c r="AE11" s="37"/>
      <c r="AF11" s="37"/>
      <c r="AG11" s="37"/>
    </row>
    <row r="12" spans="2:33" ht="19.5" customHeight="1" thickBot="1" x14ac:dyDescent="0.35">
      <c r="B12" s="6">
        <v>0</v>
      </c>
      <c r="C12" s="6" t="s">
        <v>11</v>
      </c>
      <c r="D12" s="7" t="s">
        <v>72</v>
      </c>
      <c r="E12" s="7"/>
      <c r="F12" s="71">
        <f>IF(C12=hops!$B$2,0,find_c(C12,"hops","B2:B1000",2)/100)</f>
        <v>0</v>
      </c>
      <c r="G12" s="16">
        <v>100</v>
      </c>
      <c r="H12" s="77">
        <v>0</v>
      </c>
      <c r="I12" s="73">
        <f t="shared" si="1"/>
        <v>0</v>
      </c>
      <c r="K12" s="103" t="s">
        <v>0</v>
      </c>
      <c r="L12" s="104"/>
      <c r="M12" s="40"/>
      <c r="N12" s="58"/>
      <c r="O12" s="84">
        <f t="shared" si="0"/>
        <v>87.5</v>
      </c>
      <c r="P12" s="46">
        <v>2.5</v>
      </c>
      <c r="Q12" s="49">
        <v>70.72660707504933</v>
      </c>
      <c r="R12" s="18">
        <v>0.27322305538364611</v>
      </c>
      <c r="S12" s="47">
        <v>1.6986956700895396E-4</v>
      </c>
      <c r="T12" s="18">
        <v>73.75</v>
      </c>
      <c r="U12" s="51">
        <v>0.12791210560840777</v>
      </c>
      <c r="W12" s="37"/>
      <c r="X12" s="93"/>
      <c r="Y12" s="59"/>
      <c r="Z12" s="37"/>
      <c r="AA12" s="37"/>
      <c r="AB12" s="37"/>
      <c r="AC12" s="37"/>
      <c r="AD12" s="37"/>
      <c r="AE12" s="37"/>
      <c r="AF12" s="37"/>
      <c r="AG12" s="37"/>
    </row>
    <row r="13" spans="2:33" ht="21.75" thickBot="1" x14ac:dyDescent="0.4">
      <c r="B13" s="6">
        <v>10</v>
      </c>
      <c r="C13" s="6" t="s">
        <v>14</v>
      </c>
      <c r="D13" s="7" t="s">
        <v>72</v>
      </c>
      <c r="E13" s="7">
        <v>30</v>
      </c>
      <c r="F13" s="71">
        <f>IF(C13=hops!$B$2,0,find_c(C13,"hops","B2:B1000",2)/100)</f>
        <v>9.5000000000000001E-2</v>
      </c>
      <c r="G13" s="16">
        <v>85</v>
      </c>
      <c r="H13" s="77">
        <v>5.2186850519444761</v>
      </c>
      <c r="I13" s="73">
        <f t="shared" si="1"/>
        <v>0.10445684111923999</v>
      </c>
      <c r="K13" s="105">
        <v>49.960203621199135</v>
      </c>
      <c r="L13" s="106"/>
      <c r="M13" s="40"/>
      <c r="O13" s="84">
        <f t="shared" si="0"/>
        <v>87.25</v>
      </c>
      <c r="P13" s="46">
        <v>2.75</v>
      </c>
      <c r="Q13" s="49">
        <v>70.693318137244788</v>
      </c>
      <c r="R13" s="18">
        <v>0.30646535750802856</v>
      </c>
      <c r="S13" s="47">
        <v>2.1650524716743013E-4</v>
      </c>
      <c r="T13" s="18">
        <v>74.125</v>
      </c>
      <c r="U13" s="51">
        <v>0.14347482177095863</v>
      </c>
      <c r="W13" s="37"/>
      <c r="X13" s="93"/>
      <c r="Y13" s="59"/>
      <c r="Z13" s="37"/>
      <c r="AA13" s="37"/>
      <c r="AB13" s="37"/>
      <c r="AC13" s="37"/>
      <c r="AD13" s="37"/>
      <c r="AE13" s="37"/>
      <c r="AF13" s="37"/>
      <c r="AG13" s="37"/>
    </row>
    <row r="14" spans="2:33" x14ac:dyDescent="0.25">
      <c r="B14" s="6">
        <v>30</v>
      </c>
      <c r="C14" s="6" t="s">
        <v>14</v>
      </c>
      <c r="D14" s="7" t="s">
        <v>72</v>
      </c>
      <c r="E14" s="7"/>
      <c r="F14" s="71">
        <f>IF(C14=hops!$B$2,0,find_c(C14,"hops","B2:B1000",2)/100)</f>
        <v>9.5000000000000001E-2</v>
      </c>
      <c r="G14" s="16">
        <v>75</v>
      </c>
      <c r="H14" s="77">
        <v>0</v>
      </c>
      <c r="I14" s="73">
        <f t="shared" si="1"/>
        <v>0</v>
      </c>
      <c r="J14" s="39"/>
      <c r="L14" s="41"/>
      <c r="O14" s="84">
        <f t="shared" si="0"/>
        <v>87</v>
      </c>
      <c r="P14" s="46">
        <v>3</v>
      </c>
      <c r="Q14" s="49">
        <v>70.658793743673328</v>
      </c>
      <c r="R14" s="18">
        <v>0.3409352821707905</v>
      </c>
      <c r="S14" s="47">
        <v>2.7097415586891001E-4</v>
      </c>
      <c r="T14" s="18">
        <v>74.5</v>
      </c>
      <c r="U14" s="51">
        <v>0.15961226170107726</v>
      </c>
      <c r="W14" s="37"/>
      <c r="X14" s="93"/>
      <c r="Y14" s="59"/>
      <c r="Z14" s="37"/>
      <c r="AA14" s="37"/>
      <c r="AB14" s="37"/>
      <c r="AC14" s="37"/>
      <c r="AD14" s="37"/>
      <c r="AE14" s="37"/>
      <c r="AF14" s="37"/>
      <c r="AG14" s="37"/>
    </row>
    <row r="15" spans="2:33" ht="15.75" customHeight="1" x14ac:dyDescent="0.25">
      <c r="B15" s="6">
        <v>40</v>
      </c>
      <c r="C15" s="6" t="s">
        <v>11</v>
      </c>
      <c r="D15" s="7" t="s">
        <v>72</v>
      </c>
      <c r="E15" s="7"/>
      <c r="F15" s="71">
        <f>IF(C15=hops!$B$2,0,find_c(C15,"hops","B2:B1000",2)/100)</f>
        <v>0</v>
      </c>
      <c r="G15" s="16">
        <v>60</v>
      </c>
      <c r="H15" s="77">
        <v>0</v>
      </c>
      <c r="I15" s="73">
        <f t="shared" si="1"/>
        <v>0</v>
      </c>
      <c r="K15" s="83" t="s">
        <v>86</v>
      </c>
      <c r="O15" s="84">
        <f t="shared" si="0"/>
        <v>86.75</v>
      </c>
      <c r="P15" s="46">
        <v>3.25</v>
      </c>
      <c r="Q15" s="49">
        <v>70.622991527813909</v>
      </c>
      <c r="R15" s="18">
        <v>0.37667440699572169</v>
      </c>
      <c r="S15" s="47">
        <v>3.3406519035363209E-4</v>
      </c>
      <c r="T15" s="18">
        <v>74.875</v>
      </c>
      <c r="U15" s="51">
        <v>0.17634389037911707</v>
      </c>
      <c r="W15" s="37"/>
      <c r="X15" s="93"/>
      <c r="Y15" s="59"/>
      <c r="Z15" s="37"/>
      <c r="AA15" s="37"/>
      <c r="AB15" s="37"/>
      <c r="AC15" s="37"/>
      <c r="AD15" s="37"/>
      <c r="AE15" s="37"/>
      <c r="AF15" s="37"/>
      <c r="AG15" s="37"/>
    </row>
    <row r="16" spans="2:33" ht="15.75" thickBot="1" x14ac:dyDescent="0.3">
      <c r="B16" s="6"/>
      <c r="C16" s="6" t="s">
        <v>11</v>
      </c>
      <c r="D16" s="7" t="s">
        <v>72</v>
      </c>
      <c r="E16" s="7"/>
      <c r="F16" s="71">
        <f>IF(C16=hops!$B$2,0,find_c(C16,"hops","B2:B1000",2)/100)</f>
        <v>0</v>
      </c>
      <c r="G16" s="16"/>
      <c r="H16" s="77" t="s">
        <v>10</v>
      </c>
      <c r="I16" s="73" t="str">
        <f t="shared" si="1"/>
        <v>-</v>
      </c>
      <c r="M16" s="40"/>
      <c r="O16" s="84">
        <f t="shared" si="0"/>
        <v>86.5</v>
      </c>
      <c r="P16" s="46">
        <v>3.5</v>
      </c>
      <c r="Q16" s="49">
        <v>70.585867822095082</v>
      </c>
      <c r="R16" s="18">
        <v>0.41372554349421509</v>
      </c>
      <c r="S16" s="47">
        <v>4.0663441068759099E-4</v>
      </c>
      <c r="T16" s="18">
        <v>75.25</v>
      </c>
      <c r="U16" s="51">
        <v>0.19368975044225173</v>
      </c>
      <c r="Y16" s="59"/>
    </row>
    <row r="17" spans="2:26" ht="15.75" thickBot="1" x14ac:dyDescent="0.3">
      <c r="B17" s="6"/>
      <c r="C17" s="6" t="s">
        <v>11</v>
      </c>
      <c r="D17" s="7" t="s">
        <v>72</v>
      </c>
      <c r="E17" s="7"/>
      <c r="F17" s="71">
        <f>IF(C17=hops!$B$2,0,find_c(C17,"hops","B2:B1000",2)/100)</f>
        <v>0</v>
      </c>
      <c r="G17" s="16"/>
      <c r="H17" s="77" t="s">
        <v>10</v>
      </c>
      <c r="I17" s="73" t="str">
        <f t="shared" si="1"/>
        <v>-</v>
      </c>
      <c r="K17" s="22" t="s">
        <v>9</v>
      </c>
      <c r="L17" s="23" t="s">
        <v>8</v>
      </c>
      <c r="M17" s="40"/>
      <c r="O17" s="84">
        <f t="shared" si="0"/>
        <v>86.25</v>
      </c>
      <c r="P17" s="46">
        <v>3.75</v>
      </c>
      <c r="Q17" s="49">
        <v>70.547377625142062</v>
      </c>
      <c r="R17" s="18">
        <v>0.45213276460495905</v>
      </c>
      <c r="S17" s="47">
        <v>4.8961025297057073E-4</v>
      </c>
      <c r="T17" s="18">
        <v>75.625</v>
      </c>
      <c r="U17" s="51">
        <v>0.21167047507745762</v>
      </c>
      <c r="Y17" s="59"/>
    </row>
    <row r="18" spans="2:26" x14ac:dyDescent="0.25">
      <c r="B18" s="6"/>
      <c r="C18" s="6" t="s">
        <v>11</v>
      </c>
      <c r="D18" s="7" t="s">
        <v>72</v>
      </c>
      <c r="E18" s="7"/>
      <c r="F18" s="71">
        <f>IF(C18=hops!$B$2,0,find_c(C18,"hops","B2:B1000",2)/100)</f>
        <v>0</v>
      </c>
      <c r="G18" s="16"/>
      <c r="H18" s="77" t="s">
        <v>10</v>
      </c>
      <c r="I18" s="73" t="str">
        <f t="shared" si="1"/>
        <v>-</v>
      </c>
      <c r="K18" s="24">
        <f>SGtoPL(L18)</f>
        <v>14.039453723420905</v>
      </c>
      <c r="L18" s="8">
        <v>1.0569999999999999</v>
      </c>
      <c r="M18" s="40"/>
      <c r="O18" s="84">
        <f t="shared" si="0"/>
        <v>86</v>
      </c>
      <c r="P18" s="46">
        <v>4</v>
      </c>
      <c r="Q18" s="49">
        <v>70.507474568594731</v>
      </c>
      <c r="R18" s="18">
        <v>0.49194143228498405</v>
      </c>
      <c r="S18" s="47">
        <v>5.8399912027550026E-4</v>
      </c>
      <c r="T18" s="18">
        <v>76</v>
      </c>
      <c r="U18" s="51">
        <v>0.23030730093853813</v>
      </c>
      <c r="Y18" s="59"/>
    </row>
    <row r="19" spans="2:26" ht="15.75" thickBot="1" x14ac:dyDescent="0.3">
      <c r="B19" s="6"/>
      <c r="C19" s="6" t="s">
        <v>11</v>
      </c>
      <c r="D19" s="7" t="s">
        <v>72</v>
      </c>
      <c r="E19" s="7"/>
      <c r="F19" s="71">
        <f>IF(C19=hops!$B$2,0,find_c(C19,"hops","B2:B1000",2)/100)</f>
        <v>0</v>
      </c>
      <c r="G19" s="16"/>
      <c r="H19" s="77" t="s">
        <v>10</v>
      </c>
      <c r="I19" s="73" t="str">
        <f t="shared" si="1"/>
        <v>-</v>
      </c>
      <c r="K19" s="9">
        <v>14</v>
      </c>
      <c r="L19" s="25">
        <f>PLtoSG(K19)</f>
        <v>1.0568444147547644</v>
      </c>
      <c r="M19" s="40"/>
      <c r="O19" s="84">
        <f t="shared" si="0"/>
        <v>85.75</v>
      </c>
      <c r="P19" s="46">
        <v>4.25</v>
      </c>
      <c r="Q19" s="49">
        <v>70.466110883518184</v>
      </c>
      <c r="R19" s="18">
        <v>0.53319822510486747</v>
      </c>
      <c r="S19" s="47">
        <v>6.9089137694060775E-4</v>
      </c>
      <c r="T19" s="18">
        <v>76.375</v>
      </c>
      <c r="U19" s="51">
        <v>0.24962208106509473</v>
      </c>
      <c r="Y19" s="59"/>
    </row>
    <row r="20" spans="2:26" x14ac:dyDescent="0.25">
      <c r="B20" s="6"/>
      <c r="C20" s="6" t="s">
        <v>11</v>
      </c>
      <c r="D20" s="7" t="s">
        <v>72</v>
      </c>
      <c r="E20" s="7"/>
      <c r="F20" s="71">
        <f>IF(C20=hops!$B$2,0,find_c(C20,"hops","B2:B1000",2)/100)</f>
        <v>0</v>
      </c>
      <c r="G20" s="16"/>
      <c r="H20" s="77" t="s">
        <v>10</v>
      </c>
      <c r="I20" s="73" t="str">
        <f t="shared" si="1"/>
        <v>-</v>
      </c>
      <c r="L20" s="40"/>
      <c r="M20" s="40"/>
      <c r="O20" s="84">
        <f t="shared" si="0"/>
        <v>85.5</v>
      </c>
      <c r="P20" s="46">
        <v>4.5</v>
      </c>
      <c r="Q20" s="49">
        <v>70.42323736642976</v>
      </c>
      <c r="R20" s="18">
        <v>0.57595116579678918</v>
      </c>
      <c r="S20" s="47">
        <v>8.1146777344218342E-4</v>
      </c>
      <c r="T20" s="18">
        <v>76.75</v>
      </c>
      <c r="U20" s="51">
        <v>0.2696372977794248</v>
      </c>
      <c r="Y20" s="59"/>
    </row>
    <row r="21" spans="2:26" x14ac:dyDescent="0.25">
      <c r="B21" s="6"/>
      <c r="C21" s="6" t="s">
        <v>11</v>
      </c>
      <c r="D21" s="7" t="s">
        <v>72</v>
      </c>
      <c r="E21" s="7"/>
      <c r="F21" s="71">
        <f>IF(C21=hops!$B$2,0,find_c(C21,"hops","B2:B1000",2)/100)</f>
        <v>0</v>
      </c>
      <c r="G21" s="16"/>
      <c r="H21" s="77" t="s">
        <v>10</v>
      </c>
      <c r="I21" s="73" t="str">
        <f t="shared" si="1"/>
        <v>-</v>
      </c>
      <c r="L21" s="40"/>
      <c r="M21" s="40"/>
      <c r="O21" s="84">
        <f t="shared" si="0"/>
        <v>85.25</v>
      </c>
      <c r="P21" s="46">
        <v>4.75</v>
      </c>
      <c r="Q21" s="49">
        <v>70.378803344969455</v>
      </c>
      <c r="R21" s="18">
        <v>0.62024964869976984</v>
      </c>
      <c r="S21" s="47">
        <v>9.4700633077177772E-4</v>
      </c>
      <c r="T21" s="18">
        <v>77.125</v>
      </c>
      <c r="U21" s="51">
        <v>0.29037607553528427</v>
      </c>
      <c r="Y21" s="59"/>
    </row>
    <row r="22" spans="2:26" x14ac:dyDescent="0.25">
      <c r="B22" s="6"/>
      <c r="C22" s="6" t="s">
        <v>11</v>
      </c>
      <c r="D22" s="7" t="s">
        <v>72</v>
      </c>
      <c r="E22" s="7"/>
      <c r="F22" s="71">
        <f>IF(C22=hops!$B$2,0,find_c(C22,"hops","B2:B1000",2)/100)</f>
        <v>0</v>
      </c>
      <c r="G22" s="16"/>
      <c r="H22" s="77" t="s">
        <v>10</v>
      </c>
      <c r="I22" s="73" t="str">
        <f t="shared" si="1"/>
        <v>-</v>
      </c>
      <c r="L22" s="40"/>
      <c r="M22" s="40"/>
      <c r="O22" s="84">
        <f t="shared" si="0"/>
        <v>85</v>
      </c>
      <c r="P22" s="46">
        <v>5</v>
      </c>
      <c r="Q22" s="49">
        <v>70.332756643243158</v>
      </c>
      <c r="R22" s="18">
        <v>0.66614446704180696</v>
      </c>
      <c r="S22" s="47">
        <v>1.0988897150313445E-3</v>
      </c>
      <c r="T22" s="18">
        <v>77.5</v>
      </c>
      <c r="U22" s="51">
        <v>0.31186219369029233</v>
      </c>
      <c r="Y22" s="59"/>
    </row>
    <row r="23" spans="2:26" x14ac:dyDescent="0.25">
      <c r="B23" s="6"/>
      <c r="C23" s="6" t="s">
        <v>11</v>
      </c>
      <c r="D23" s="7" t="s">
        <v>72</v>
      </c>
      <c r="E23" s="7"/>
      <c r="F23" s="71">
        <f>IF(C23=hops!$B$2,0,find_c(C23,"hops","B2:B1000",2)/100)</f>
        <v>0</v>
      </c>
      <c r="G23" s="16"/>
      <c r="H23" s="77" t="s">
        <v>10</v>
      </c>
      <c r="I23" s="73" t="str">
        <f t="shared" si="1"/>
        <v>-</v>
      </c>
      <c r="L23" s="40"/>
      <c r="M23" s="40"/>
      <c r="O23" s="84">
        <f t="shared" si="0"/>
        <v>84.75</v>
      </c>
      <c r="P23" s="46">
        <v>5.25</v>
      </c>
      <c r="Q23" s="49">
        <v>70.285043546871435</v>
      </c>
      <c r="R23" s="18">
        <v>0.71368783999371588</v>
      </c>
      <c r="S23" s="47">
        <v>1.268613134847238E-3</v>
      </c>
      <c r="T23" s="18">
        <v>77.875</v>
      </c>
      <c r="U23" s="51">
        <v>0.33412009917145802</v>
      </c>
      <c r="Y23" s="59"/>
    </row>
    <row r="24" spans="2:26" x14ac:dyDescent="0.25">
      <c r="B24" s="6"/>
      <c r="C24" s="6" t="s">
        <v>11</v>
      </c>
      <c r="D24" s="7" t="s">
        <v>72</v>
      </c>
      <c r="E24" s="7"/>
      <c r="F24" s="71">
        <f>IF(C24=hops!$B$2,0,find_c(C24,"hops","B2:B1000",2)/100)</f>
        <v>0</v>
      </c>
      <c r="G24" s="16"/>
      <c r="H24" s="77" t="s">
        <v>10</v>
      </c>
      <c r="I24" s="73" t="str">
        <f t="shared" si="1"/>
        <v>-</v>
      </c>
      <c r="L24" s="40"/>
      <c r="M24" s="40"/>
      <c r="O24" s="84">
        <f t="shared" si="0"/>
        <v>84.5</v>
      </c>
      <c r="P24" s="46">
        <v>5.5</v>
      </c>
      <c r="Q24" s="49">
        <v>70.235608767779496</v>
      </c>
      <c r="R24" s="18">
        <v>0.76293343942430725</v>
      </c>
      <c r="S24" s="47">
        <v>1.4577927961932514E-3</v>
      </c>
      <c r="T24" s="18">
        <v>78.25</v>
      </c>
      <c r="U24" s="51">
        <v>0.35717491900088372</v>
      </c>
      <c r="Y24" s="59"/>
    </row>
    <row r="25" spans="2:26" x14ac:dyDescent="0.25">
      <c r="B25" s="6"/>
      <c r="C25" s="6" t="s">
        <v>11</v>
      </c>
      <c r="D25" s="7" t="s">
        <v>72</v>
      </c>
      <c r="E25" s="7"/>
      <c r="F25" s="71">
        <f>IF(C25=hops!$B$2,0,find_c(C25,"hops","B2:B1000",2)/100)</f>
        <v>0</v>
      </c>
      <c r="G25" s="16"/>
      <c r="H25" s="77" t="s">
        <v>10</v>
      </c>
      <c r="I25" s="73" t="str">
        <f t="shared" si="1"/>
        <v>-</v>
      </c>
      <c r="L25" s="40"/>
      <c r="M25" s="40"/>
      <c r="O25" s="84">
        <f t="shared" si="0"/>
        <v>84.25</v>
      </c>
      <c r="P25" s="46">
        <v>5.75</v>
      </c>
      <c r="Q25" s="49">
        <v>70.184395408767656</v>
      </c>
      <c r="R25" s="18">
        <v>0.8139364162810373</v>
      </c>
      <c r="S25" s="47">
        <v>1.6681749513081713E-3</v>
      </c>
      <c r="T25" s="18">
        <v>78.625</v>
      </c>
      <c r="U25" s="51">
        <v>0.3810524726461304</v>
      </c>
      <c r="Y25" s="59"/>
    </row>
    <row r="26" spans="2:26" x14ac:dyDescent="0.25">
      <c r="B26" s="6"/>
      <c r="C26" s="6" t="s">
        <v>11</v>
      </c>
      <c r="D26" s="7" t="s">
        <v>72</v>
      </c>
      <c r="E26" s="7"/>
      <c r="F26" s="71">
        <f>IF(C26=hops!$B$2,0,find_c(C26,"hops","B2:B1000",2)/100)</f>
        <v>0</v>
      </c>
      <c r="G26" s="16"/>
      <c r="H26" s="77" t="s">
        <v>10</v>
      </c>
      <c r="I26" s="73" t="str">
        <f t="shared" si="1"/>
        <v>-</v>
      </c>
      <c r="L26" s="40"/>
      <c r="M26" s="40"/>
      <c r="O26" s="84">
        <f t="shared" si="0"/>
        <v>84</v>
      </c>
      <c r="P26" s="46">
        <v>6</v>
      </c>
      <c r="Q26" s="49">
        <v>70.131344927904934</v>
      </c>
      <c r="R26" s="18">
        <v>0.86675342651447262</v>
      </c>
      <c r="S26" s="47">
        <v>1.9016455805988567E-3</v>
      </c>
      <c r="T26" s="18">
        <v>79</v>
      </c>
      <c r="U26" s="51">
        <v>0.40577928415701553</v>
      </c>
      <c r="Y26" s="59"/>
    </row>
    <row r="27" spans="2:26" ht="15" customHeight="1" x14ac:dyDescent="0.25">
      <c r="B27" s="6"/>
      <c r="C27" s="6" t="s">
        <v>11</v>
      </c>
      <c r="D27" s="7" t="s">
        <v>72</v>
      </c>
      <c r="E27" s="7"/>
      <c r="F27" s="71">
        <f>IF(C27=hops!$B$2,0,find_c(C27,"hops","B2:B1000",2)/100)</f>
        <v>0</v>
      </c>
      <c r="G27" s="16"/>
      <c r="H27" s="77" t="s">
        <v>10</v>
      </c>
      <c r="I27" s="73" t="str">
        <f t="shared" si="1"/>
        <v>-</v>
      </c>
      <c r="J27" s="37"/>
      <c r="K27" s="37"/>
      <c r="L27" s="37"/>
      <c r="M27" s="37"/>
      <c r="O27" s="84">
        <f t="shared" si="0"/>
        <v>83.75</v>
      </c>
      <c r="P27" s="46">
        <v>6.25</v>
      </c>
      <c r="Q27" s="49">
        <v>70.076397102792484</v>
      </c>
      <c r="R27" s="18">
        <v>0.92144265645878121</v>
      </c>
      <c r="S27" s="47">
        <v>2.16024074873984E-3</v>
      </c>
      <c r="T27" s="18">
        <v>79.375</v>
      </c>
      <c r="U27" s="51">
        <v>0.43138259404774304</v>
      </c>
      <c r="Y27" s="59"/>
    </row>
    <row r="28" spans="2:26" ht="15" customHeight="1" x14ac:dyDescent="0.25">
      <c r="B28" s="6"/>
      <c r="C28" s="6" t="s">
        <v>11</v>
      </c>
      <c r="D28" s="7" t="s">
        <v>72</v>
      </c>
      <c r="E28" s="7"/>
      <c r="F28" s="71">
        <f>IF(C28=hops!$B$2,0,find_c(C28,"hops","B2:B1000",2)/100)</f>
        <v>0</v>
      </c>
      <c r="G28" s="16"/>
      <c r="H28" s="77" t="s">
        <v>10</v>
      </c>
      <c r="I28" s="73" t="str">
        <f t="shared" si="1"/>
        <v>-</v>
      </c>
      <c r="J28" s="37"/>
      <c r="K28" s="86"/>
      <c r="L28" s="86"/>
      <c r="M28" s="86"/>
      <c r="O28" s="84">
        <f t="shared" si="0"/>
        <v>83.5</v>
      </c>
      <c r="P28" s="46">
        <v>6.5</v>
      </c>
      <c r="Q28" s="49">
        <v>70.019489994747389</v>
      </c>
      <c r="R28" s="18">
        <v>0.97806384757399611</v>
      </c>
      <c r="S28" s="47">
        <v>2.4461576786191023E-3</v>
      </c>
      <c r="T28" s="18">
        <v>79.75</v>
      </c>
      <c r="U28" s="51">
        <v>0.45789037088024204</v>
      </c>
      <c r="Y28" s="59"/>
    </row>
    <row r="29" spans="2:26" ht="15" customHeight="1" x14ac:dyDescent="0.25">
      <c r="B29" s="6"/>
      <c r="C29" s="6" t="s">
        <v>11</v>
      </c>
      <c r="D29" s="7" t="s">
        <v>72</v>
      </c>
      <c r="E29" s="7"/>
      <c r="F29" s="71">
        <f>IF(C29=hops!$B$2,0,find_c(C29,"hops","B2:B1000",2)/100)</f>
        <v>0</v>
      </c>
      <c r="G29" s="16"/>
      <c r="H29" s="77" t="s">
        <v>10</v>
      </c>
      <c r="I29" s="73" t="str">
        <f t="shared" si="1"/>
        <v>-</v>
      </c>
      <c r="J29" s="37"/>
      <c r="K29" s="87"/>
      <c r="L29" s="87"/>
      <c r="M29" s="87"/>
      <c r="O29" s="84">
        <f t="shared" si="0"/>
        <v>83.25</v>
      </c>
      <c r="P29" s="46">
        <v>6.75</v>
      </c>
      <c r="Q29" s="49">
        <v>69.960559912961685</v>
      </c>
      <c r="R29" s="18">
        <v>1.0366783204489793</v>
      </c>
      <c r="S29" s="47">
        <v>2.7617665893411667E-3</v>
      </c>
      <c r="T29" s="18">
        <v>80.125</v>
      </c>
      <c r="U29" s="51">
        <v>0.48533132250139416</v>
      </c>
      <c r="Y29" s="59"/>
    </row>
    <row r="30" spans="2:26" ht="15" customHeight="1" x14ac:dyDescent="0.25">
      <c r="B30" s="6"/>
      <c r="C30" s="6" t="s">
        <v>11</v>
      </c>
      <c r="D30" s="7" t="s">
        <v>72</v>
      </c>
      <c r="E30" s="7"/>
      <c r="F30" s="71">
        <f>IF(C30=hops!$B$2,0,find_c(C30,"hops","B2:B1000",2)/100)</f>
        <v>0</v>
      </c>
      <c r="G30" s="16"/>
      <c r="H30" s="77" t="s">
        <v>10</v>
      </c>
      <c r="I30" s="73" t="str">
        <f t="shared" si="1"/>
        <v>-</v>
      </c>
      <c r="J30" s="37"/>
      <c r="K30" s="87"/>
      <c r="L30" s="87"/>
      <c r="M30" s="87"/>
      <c r="O30" s="84">
        <f t="shared" si="0"/>
        <v>83</v>
      </c>
      <c r="P30" s="46">
        <v>7</v>
      </c>
      <c r="Q30" s="49">
        <v>69.899541378696</v>
      </c>
      <c r="R30" s="18">
        <v>1.0973489979568247</v>
      </c>
      <c r="S30" s="47">
        <v>3.1096233471871021E-3</v>
      </c>
      <c r="T30" s="18">
        <v>80.5</v>
      </c>
      <c r="U30" s="51">
        <v>0.51373490688346701</v>
      </c>
      <c r="Y30" s="59"/>
    </row>
    <row r="31" spans="2:26" ht="15" customHeight="1" x14ac:dyDescent="0.25">
      <c r="B31" s="6"/>
      <c r="C31" s="6" t="s">
        <v>11</v>
      </c>
      <c r="D31" s="7" t="s">
        <v>72</v>
      </c>
      <c r="E31" s="7"/>
      <c r="F31" s="71">
        <f>IF(C31=hops!$B$2,0,find_c(C31,"hops","B2:B1000",2)/100)</f>
        <v>0</v>
      </c>
      <c r="G31" s="16"/>
      <c r="H31" s="77" t="s">
        <v>10</v>
      </c>
      <c r="I31" s="73" t="str">
        <f t="shared" si="1"/>
        <v>-</v>
      </c>
      <c r="J31" s="37"/>
      <c r="K31" s="87"/>
      <c r="L31" s="87"/>
      <c r="M31" s="87"/>
      <c r="O31" s="84">
        <f t="shared" si="0"/>
        <v>82.75</v>
      </c>
      <c r="P31" s="46">
        <v>7.25</v>
      </c>
      <c r="Q31" s="49">
        <v>69.836367089571894</v>
      </c>
      <c r="R31" s="18">
        <v>1.1601404274468741</v>
      </c>
      <c r="S31" s="47">
        <v>3.4924829812504696E-3</v>
      </c>
      <c r="T31" s="18">
        <v>80.875</v>
      </c>
      <c r="U31" s="51">
        <v>0.54313134251352857</v>
      </c>
      <c r="Y31" s="53"/>
    </row>
    <row r="32" spans="2:26" ht="15" customHeight="1" x14ac:dyDescent="0.25">
      <c r="B32" s="6"/>
      <c r="C32" s="6" t="s">
        <v>11</v>
      </c>
      <c r="D32" s="7" t="s">
        <v>72</v>
      </c>
      <c r="E32" s="7"/>
      <c r="F32" s="71">
        <f>IF(C32=hops!$B$2,0,find_c(C32,"hops","B2:B1000",2)/100)</f>
        <v>0</v>
      </c>
      <c r="G32" s="16"/>
      <c r="H32" s="77" t="s">
        <v>10</v>
      </c>
      <c r="I32" s="73" t="str">
        <f t="shared" si="1"/>
        <v>-</v>
      </c>
      <c r="J32" s="37"/>
      <c r="K32" s="87"/>
      <c r="L32" s="87"/>
      <c r="M32" s="87"/>
      <c r="O32" s="84">
        <f t="shared" si="0"/>
        <v>82.5</v>
      </c>
      <c r="P32" s="46">
        <v>7.5</v>
      </c>
      <c r="Q32" s="49">
        <v>69.770967884032032</v>
      </c>
      <c r="R32" s="18">
        <v>1.2251188018495582</v>
      </c>
      <c r="S32" s="47">
        <v>3.9133141184225203E-3</v>
      </c>
      <c r="T32" s="18">
        <v>81.25</v>
      </c>
      <c r="U32" s="51">
        <v>0.57355161827388923</v>
      </c>
      <c r="Y32" s="53"/>
      <c r="Z32" s="53"/>
    </row>
    <row r="33" spans="2:26" ht="15" customHeight="1" x14ac:dyDescent="0.25">
      <c r="B33" s="6"/>
      <c r="C33" s="6" t="s">
        <v>11</v>
      </c>
      <c r="D33" s="7" t="s">
        <v>72</v>
      </c>
      <c r="E33" s="7"/>
      <c r="F33" s="71">
        <f>IF(C33=hops!$B$2,0,find_c(C33,"hops","B2:B1000",2)/100)</f>
        <v>0</v>
      </c>
      <c r="G33" s="16"/>
      <c r="H33" s="77" t="s">
        <v>10</v>
      </c>
      <c r="I33" s="73" t="str">
        <f t="shared" si="1"/>
        <v>-</v>
      </c>
      <c r="J33" s="37"/>
      <c r="K33" s="37"/>
      <c r="L33" s="37"/>
      <c r="M33" s="37"/>
      <c r="O33" s="84">
        <f t="shared" si="0"/>
        <v>82.25</v>
      </c>
      <c r="P33" s="46">
        <v>7.75</v>
      </c>
      <c r="Q33" s="49">
        <v>69.703272706042611</v>
      </c>
      <c r="R33" s="18">
        <v>1.2923519795619141</v>
      </c>
      <c r="S33" s="47">
        <v>4.3753143954928736E-3</v>
      </c>
      <c r="T33" s="18">
        <v>81.625</v>
      </c>
      <c r="U33" s="51">
        <v>0.60502750275170569</v>
      </c>
      <c r="Y33" s="53"/>
      <c r="Z33" s="53"/>
    </row>
    <row r="34" spans="2:26" ht="15" customHeight="1" x14ac:dyDescent="0.25">
      <c r="B34" s="6"/>
      <c r="C34" s="6" t="s">
        <v>11</v>
      </c>
      <c r="D34" s="7" t="s">
        <v>72</v>
      </c>
      <c r="E34" s="7"/>
      <c r="F34" s="71">
        <f>IF(C34=hops!$B$2,0,find_c(C34,"hops","B2:B1000",2)/100)</f>
        <v>0</v>
      </c>
      <c r="G34" s="16"/>
      <c r="H34" s="77" t="s">
        <v>10</v>
      </c>
      <c r="I34" s="73" t="str">
        <f t="shared" si="1"/>
        <v>-</v>
      </c>
      <c r="J34" s="37"/>
      <c r="K34" s="88"/>
      <c r="L34" s="88"/>
      <c r="M34" s="88"/>
      <c r="O34" s="84">
        <f t="shared" si="0"/>
        <v>82</v>
      </c>
      <c r="P34" s="46">
        <v>8</v>
      </c>
      <c r="Q34" s="49">
        <v>69.633208570117816</v>
      </c>
      <c r="R34" s="18">
        <v>1.3619095029728299</v>
      </c>
      <c r="S34" s="47">
        <v>4.8819269093668466E-3</v>
      </c>
      <c r="T34" s="18">
        <v>82</v>
      </c>
      <c r="U34" s="51">
        <v>0.63759155291176006</v>
      </c>
      <c r="Y34" s="53"/>
      <c r="Z34" s="53"/>
    </row>
    <row r="35" spans="2:26" ht="15" customHeight="1" x14ac:dyDescent="0.25">
      <c r="B35" s="6"/>
      <c r="C35" s="6" t="s">
        <v>11</v>
      </c>
      <c r="D35" s="7" t="s">
        <v>72</v>
      </c>
      <c r="E35" s="7"/>
      <c r="F35" s="71">
        <f>IF(C35=hops!$B$2,0,find_c(C35,"hops","B2:B1000",2)/100)</f>
        <v>0</v>
      </c>
      <c r="G35" s="16"/>
      <c r="H35" s="77" t="s">
        <v>10</v>
      </c>
      <c r="I35" s="73" t="str">
        <f t="shared" si="1"/>
        <v>-</v>
      </c>
      <c r="J35" s="37"/>
      <c r="K35" s="87"/>
      <c r="L35" s="87"/>
      <c r="M35" s="87"/>
      <c r="O35" s="84">
        <f t="shared" si="0"/>
        <v>81.75</v>
      </c>
      <c r="P35" s="46">
        <v>8.25</v>
      </c>
      <c r="Q35" s="49">
        <v>69.560700526752356</v>
      </c>
      <c r="R35" s="18">
        <v>1.4338626154778691</v>
      </c>
      <c r="S35" s="47">
        <v>5.4368577697809835E-3</v>
      </c>
      <c r="T35" s="18">
        <v>82.375</v>
      </c>
      <c r="U35" s="51">
        <v>0.67127712206211909</v>
      </c>
      <c r="Y35" s="53"/>
      <c r="Z35" s="53"/>
    </row>
    <row r="36" spans="2:26" ht="15" customHeight="1" x14ac:dyDescent="0.25">
      <c r="B36" s="6"/>
      <c r="C36" s="6" t="s">
        <v>11</v>
      </c>
      <c r="D36" s="7" t="s">
        <v>72</v>
      </c>
      <c r="E36" s="7"/>
      <c r="F36" s="71">
        <f>IF(C36=hops!$B$2,0,find_c(C36,"hops","B2:B1000",2)/100)</f>
        <v>0</v>
      </c>
      <c r="G36" s="16"/>
      <c r="H36" s="77" t="s">
        <v>10</v>
      </c>
      <c r="I36" s="73" t="str">
        <f t="shared" si="1"/>
        <v>-</v>
      </c>
      <c r="J36" s="40"/>
      <c r="K36" s="87"/>
      <c r="L36" s="87"/>
      <c r="M36" s="87"/>
      <c r="O36" s="84">
        <f t="shared" si="0"/>
        <v>81.5</v>
      </c>
      <c r="P36" s="46">
        <v>8.5</v>
      </c>
      <c r="Q36" s="49">
        <v>69.485671628353742</v>
      </c>
      <c r="R36" s="18">
        <v>1.5082842768238425</v>
      </c>
      <c r="S36" s="47">
        <v>6.0440948224268634E-3</v>
      </c>
      <c r="T36" s="18">
        <v>82.75</v>
      </c>
      <c r="U36" s="51">
        <v>0.70611836703785014</v>
      </c>
      <c r="Y36" s="53"/>
      <c r="Z36" s="53"/>
    </row>
    <row r="37" spans="2:26" ht="15" customHeight="1" x14ac:dyDescent="0.25">
      <c r="B37" s="6"/>
      <c r="C37" s="6" t="s">
        <v>11</v>
      </c>
      <c r="D37" s="7" t="s">
        <v>72</v>
      </c>
      <c r="E37" s="7"/>
      <c r="F37" s="71">
        <f>IF(C37=hops!$B$2,0,find_c(C37,"hops","B2:B1000",2)/100)</f>
        <v>0</v>
      </c>
      <c r="G37" s="16"/>
      <c r="H37" s="77" t="s">
        <v>10</v>
      </c>
      <c r="I37" s="73" t="str">
        <f t="shared" si="1"/>
        <v>-</v>
      </c>
      <c r="J37" s="40"/>
      <c r="K37" s="87"/>
      <c r="L37" s="87"/>
      <c r="M37" s="87"/>
      <c r="O37" s="84">
        <f t="shared" si="0"/>
        <v>81.25</v>
      </c>
      <c r="P37" s="46">
        <v>8.75</v>
      </c>
      <c r="Q37" s="49">
        <v>69.408042895772738</v>
      </c>
      <c r="R37" s="18">
        <v>1.5852491766131958</v>
      </c>
      <c r="S37" s="47">
        <v>6.7079276140726909E-3</v>
      </c>
      <c r="T37" s="18">
        <v>83.125</v>
      </c>
      <c r="U37" s="51">
        <v>0.74215025452323369</v>
      </c>
      <c r="Y37" s="53"/>
      <c r="Z37" s="53"/>
    </row>
    <row r="38" spans="2:26" ht="15" customHeight="1" x14ac:dyDescent="0.25">
      <c r="B38" s="6"/>
      <c r="C38" s="6" t="s">
        <v>11</v>
      </c>
      <c r="D38" s="7" t="s">
        <v>72</v>
      </c>
      <c r="E38" s="7"/>
      <c r="F38" s="71">
        <f>IF(C38=hops!$B$2,0,find_c(C38,"hops","B2:B1000",2)/100)</f>
        <v>0</v>
      </c>
      <c r="G38" s="16"/>
      <c r="H38" s="77" t="s">
        <v>10</v>
      </c>
      <c r="I38" s="73" t="str">
        <f t="shared" si="1"/>
        <v>-</v>
      </c>
      <c r="J38" s="40"/>
      <c r="K38" s="87"/>
      <c r="L38" s="87"/>
      <c r="M38" s="87"/>
      <c r="O38" s="84">
        <f t="shared" si="0"/>
        <v>81</v>
      </c>
      <c r="P38" s="46">
        <v>9</v>
      </c>
      <c r="Q38" s="49">
        <v>69.327733285537235</v>
      </c>
      <c r="R38" s="18">
        <v>1.6648337457876738</v>
      </c>
      <c r="S38" s="47">
        <v>7.432968675104349E-3</v>
      </c>
      <c r="T38" s="18">
        <v>83.5</v>
      </c>
      <c r="U38" s="51">
        <v>0.77940856642795731</v>
      </c>
      <c r="Y38" s="53"/>
      <c r="Z38" s="53"/>
    </row>
    <row r="39" spans="2:26" ht="15" customHeight="1" x14ac:dyDescent="0.25">
      <c r="B39" s="6"/>
      <c r="C39" s="6" t="s">
        <v>11</v>
      </c>
      <c r="D39" s="7" t="s">
        <v>72</v>
      </c>
      <c r="E39" s="7"/>
      <c r="F39" s="71">
        <f>IF(C39=hops!$B$2,0,find_c(C39,"hops","B2:B1000",2)/100)</f>
        <v>0</v>
      </c>
      <c r="G39" s="16"/>
      <c r="H39" s="77" t="s">
        <v>10</v>
      </c>
      <c r="I39" s="73" t="str">
        <f t="shared" si="1"/>
        <v>-</v>
      </c>
      <c r="J39" s="37"/>
      <c r="K39" s="87"/>
      <c r="L39" s="87"/>
      <c r="M39" s="87"/>
      <c r="O39" s="84">
        <f t="shared" si="0"/>
        <v>80.75</v>
      </c>
      <c r="P39" s="46">
        <v>9.25</v>
      </c>
      <c r="Q39" s="49">
        <v>69.244659657901437</v>
      </c>
      <c r="R39" s="18">
        <v>1.7471161658996803</v>
      </c>
      <c r="S39" s="47">
        <v>8.2241761988943243E-3</v>
      </c>
      <c r="T39" s="18">
        <v>83.875</v>
      </c>
      <c r="U39" s="51">
        <v>0.81792990422759437</v>
      </c>
      <c r="Y39" s="53"/>
      <c r="Z39" s="53"/>
    </row>
    <row r="40" spans="2:26" ht="15" customHeight="1" x14ac:dyDescent="0.25">
      <c r="B40" s="6"/>
      <c r="C40" s="6" t="s">
        <v>11</v>
      </c>
      <c r="D40" s="7" t="s">
        <v>72</v>
      </c>
      <c r="E40" s="7"/>
      <c r="F40" s="71">
        <f>IF(C40=hops!$B$2,0,find_c(C40,"hops","B2:B1000",2)/100)</f>
        <v>0</v>
      </c>
      <c r="G40" s="16"/>
      <c r="H40" s="77" t="s">
        <v>10</v>
      </c>
      <c r="I40" s="73" t="str">
        <f t="shared" si="1"/>
        <v>-</v>
      </c>
      <c r="J40" s="37"/>
      <c r="K40" s="37"/>
      <c r="L40" s="37"/>
      <c r="M40" s="37"/>
      <c r="O40" s="84">
        <f t="shared" si="0"/>
        <v>80.5</v>
      </c>
      <c r="P40" s="46">
        <v>9.5</v>
      </c>
      <c r="Q40" s="49">
        <v>69.158736745830282</v>
      </c>
      <c r="R40" s="18">
        <v>1.8321763759681824</v>
      </c>
      <c r="S40" s="47">
        <v>9.0868782015488692E-3</v>
      </c>
      <c r="T40" s="18">
        <v>84.25</v>
      </c>
      <c r="U40" s="51">
        <v>0.8577516921732643</v>
      </c>
      <c r="Y40" s="53"/>
      <c r="Z40" s="53"/>
    </row>
    <row r="41" spans="2:26" ht="15" customHeight="1" x14ac:dyDescent="0.25">
      <c r="B41" s="6"/>
      <c r="C41" s="6" t="s">
        <v>11</v>
      </c>
      <c r="D41" s="7" t="s">
        <v>72</v>
      </c>
      <c r="E41" s="7"/>
      <c r="F41" s="71">
        <f>IF(C41=hops!$B$2,0,find_c(C41,"hops","B2:B1000",2)/100)</f>
        <v>0</v>
      </c>
      <c r="G41" s="16"/>
      <c r="H41" s="77" t="s">
        <v>10</v>
      </c>
      <c r="I41" s="73" t="str">
        <f t="shared" si="1"/>
        <v>-</v>
      </c>
      <c r="J41" s="37"/>
      <c r="K41" s="89"/>
      <c r="L41" s="89"/>
      <c r="M41" s="89"/>
      <c r="O41" s="84">
        <f t="shared" si="0"/>
        <v>80.25</v>
      </c>
      <c r="P41" s="46">
        <v>9.75</v>
      </c>
      <c r="Q41" s="49">
        <v>69.069877125046148</v>
      </c>
      <c r="R41" s="18">
        <v>1.9200960767039803</v>
      </c>
      <c r="S41" s="47">
        <v>1.0026798249881355E-2</v>
      </c>
      <c r="T41" s="18">
        <v>84.625</v>
      </c>
      <c r="U41" s="51">
        <v>0.89891217926973543</v>
      </c>
      <c r="Y41" s="53"/>
      <c r="Z41" s="53"/>
    </row>
    <row r="42" spans="2:26" ht="15" customHeight="1" x14ac:dyDescent="0.25">
      <c r="B42" s="6"/>
      <c r="C42" s="6" t="s">
        <v>11</v>
      </c>
      <c r="D42" s="7" t="s">
        <v>72</v>
      </c>
      <c r="E42" s="7"/>
      <c r="F42" s="71">
        <f>IF(C42=hops!$B$2,0,find_c(C42,"hops","B2:B1000",2)/100)</f>
        <v>0</v>
      </c>
      <c r="G42" s="16"/>
      <c r="H42" s="77" t="s">
        <v>10</v>
      </c>
      <c r="I42" s="73" t="str">
        <f t="shared" si="1"/>
        <v>-</v>
      </c>
      <c r="J42" s="42"/>
      <c r="K42" s="90"/>
      <c r="L42" s="90"/>
      <c r="M42" s="90"/>
      <c r="O42" s="84">
        <f t="shared" si="0"/>
        <v>80</v>
      </c>
      <c r="P42" s="46">
        <v>10</v>
      </c>
      <c r="Q42" s="49">
        <v>68.977991185273495</v>
      </c>
      <c r="R42" s="18">
        <v>2.0109587318766073</v>
      </c>
      <c r="S42" s="47">
        <v>1.1050082849912362E-2</v>
      </c>
      <c r="T42" s="18">
        <v>85</v>
      </c>
      <c r="U42" s="51">
        <v>0.94145043991535249</v>
      </c>
      <c r="Y42" s="53"/>
      <c r="Z42" s="53"/>
    </row>
    <row r="43" spans="2:26" ht="15" customHeight="1" x14ac:dyDescent="0.25">
      <c r="B43" s="6"/>
      <c r="C43" s="6" t="s">
        <v>11</v>
      </c>
      <c r="D43" s="7" t="s">
        <v>72</v>
      </c>
      <c r="E43" s="7"/>
      <c r="F43" s="71">
        <f>IF(C43=hops!$B$2,0,find_c(C43,"hops","B2:B1000",2)/100)</f>
        <v>0</v>
      </c>
      <c r="G43" s="16"/>
      <c r="H43" s="77" t="s">
        <v>10</v>
      </c>
      <c r="I43" s="73" t="str">
        <f t="shared" si="1"/>
        <v>-</v>
      </c>
      <c r="J43" s="42"/>
      <c r="K43" s="90"/>
      <c r="L43" s="90"/>
      <c r="M43" s="90"/>
      <c r="O43" s="84">
        <f t="shared" si="0"/>
        <v>79.75</v>
      </c>
      <c r="P43" s="46">
        <v>10.25</v>
      </c>
      <c r="Q43" s="49">
        <v>68.882987102825126</v>
      </c>
      <c r="R43" s="18">
        <v>2.1048495665820801</v>
      </c>
      <c r="S43" s="47">
        <v>1.2163330592802996E-2</v>
      </c>
      <c r="T43" s="18">
        <v>85.25</v>
      </c>
      <c r="U43" s="51">
        <v>0.9854063730910666</v>
      </c>
      <c r="Y43" s="53"/>
      <c r="Z43" s="53"/>
    </row>
    <row r="44" spans="2:26" ht="15" customHeight="1" x14ac:dyDescent="0.25">
      <c r="B44" s="6"/>
      <c r="C44" s="6" t="s">
        <v>11</v>
      </c>
      <c r="D44" s="7" t="s">
        <v>72</v>
      </c>
      <c r="E44" s="7"/>
      <c r="F44" s="71">
        <f>IF(C44=hops!$B$2,0,find_c(C44,"hops","B2:B1000",2)/100)</f>
        <v>0</v>
      </c>
      <c r="G44" s="16"/>
      <c r="H44" s="77" t="s">
        <v>10</v>
      </c>
      <c r="I44" s="73" t="str">
        <f t="shared" si="1"/>
        <v>-</v>
      </c>
      <c r="J44" s="42"/>
      <c r="K44" s="90"/>
      <c r="L44" s="90"/>
      <c r="M44" s="90"/>
      <c r="O44" s="84">
        <f t="shared" si="0"/>
        <v>79.5</v>
      </c>
      <c r="P44" s="46">
        <v>10.5</v>
      </c>
      <c r="Q44" s="49">
        <v>68.785897272803894</v>
      </c>
      <c r="R44" s="18">
        <v>2.200744306494856</v>
      </c>
      <c r="S44" s="47">
        <v>1.3358420701252972E-2</v>
      </c>
      <c r="T44" s="18">
        <v>85.5</v>
      </c>
      <c r="U44" s="51">
        <v>1.0303004545286318</v>
      </c>
      <c r="Y44" s="53"/>
      <c r="Z44" s="53"/>
    </row>
    <row r="45" spans="2:26" ht="15" customHeight="1" x14ac:dyDescent="0.25">
      <c r="B45" s="6"/>
      <c r="C45" s="6" t="s">
        <v>11</v>
      </c>
      <c r="D45" s="7" t="s">
        <v>72</v>
      </c>
      <c r="E45" s="7"/>
      <c r="F45" s="71">
        <f>IF(C45=hops!$B$2,0,find_c(C45,"hops","B2:B1000",2)/100)</f>
        <v>0</v>
      </c>
      <c r="G45" s="16"/>
      <c r="H45" s="77" t="s">
        <v>10</v>
      </c>
      <c r="I45" s="73" t="str">
        <f t="shared" si="1"/>
        <v>-</v>
      </c>
      <c r="J45" s="42"/>
      <c r="K45" s="90"/>
      <c r="L45" s="90"/>
      <c r="M45" s="90"/>
      <c r="O45" s="84">
        <f t="shared" si="0"/>
        <v>79.25</v>
      </c>
      <c r="P45" s="46">
        <v>10.75</v>
      </c>
      <c r="Q45" s="49">
        <v>68.686682295852052</v>
      </c>
      <c r="R45" s="18">
        <v>2.2986777652465658</v>
      </c>
      <c r="S45" s="47">
        <v>1.4639938901386243E-2</v>
      </c>
      <c r="T45" s="18">
        <v>85.75</v>
      </c>
      <c r="U45" s="51">
        <v>1.0761489825778321</v>
      </c>
      <c r="Y45" s="53"/>
      <c r="Z45" s="53"/>
    </row>
    <row r="46" spans="2:26" ht="15" customHeight="1" x14ac:dyDescent="0.25">
      <c r="B46" s="6"/>
      <c r="C46" s="6" t="s">
        <v>11</v>
      </c>
      <c r="D46" s="7" t="s">
        <v>72</v>
      </c>
      <c r="E46" s="7"/>
      <c r="F46" s="71">
        <f>IF(C46=hops!$B$2,0,find_c(C46,"hops","B2:B1000",2)/100)</f>
        <v>0</v>
      </c>
      <c r="G46" s="16"/>
      <c r="H46" s="77" t="s">
        <v>10</v>
      </c>
      <c r="I46" s="73" t="str">
        <f t="shared" si="1"/>
        <v>-</v>
      </c>
      <c r="J46" s="42"/>
      <c r="K46" s="90"/>
      <c r="L46" s="90"/>
      <c r="M46" s="90"/>
      <c r="O46" s="84">
        <f t="shared" si="0"/>
        <v>79</v>
      </c>
      <c r="P46" s="46">
        <v>11</v>
      </c>
      <c r="Q46" s="49">
        <v>68.585302251916957</v>
      </c>
      <c r="R46" s="18">
        <v>2.3986850524005114</v>
      </c>
      <c r="S46" s="47">
        <v>1.6012695682529398E-2</v>
      </c>
      <c r="T46" s="18">
        <v>86</v>
      </c>
      <c r="U46" s="51">
        <v>1.1229683941318234</v>
      </c>
      <c r="Y46" s="53"/>
      <c r="Z46" s="53"/>
    </row>
    <row r="47" spans="2:26" ht="15" customHeight="1" x14ac:dyDescent="0.25">
      <c r="B47" s="6"/>
      <c r="C47" s="6" t="s">
        <v>11</v>
      </c>
      <c r="D47" s="7" t="s">
        <v>72</v>
      </c>
      <c r="E47" s="7"/>
      <c r="F47" s="71">
        <f>IF(C47=hops!$B$2,0,find_c(C47,"hops","B2:B1000",2)/100)</f>
        <v>0</v>
      </c>
      <c r="G47" s="16"/>
      <c r="H47" s="77" t="s">
        <v>10</v>
      </c>
      <c r="I47" s="73" t="str">
        <f t="shared" si="1"/>
        <v>-</v>
      </c>
      <c r="J47" s="42"/>
      <c r="K47" s="90"/>
      <c r="L47" s="90"/>
      <c r="M47" s="90"/>
      <c r="O47" s="84">
        <f t="shared" si="0"/>
        <v>78.75</v>
      </c>
      <c r="P47" s="46">
        <v>11.25</v>
      </c>
      <c r="Q47" s="49">
        <v>68.481716702434056</v>
      </c>
      <c r="R47" s="18">
        <v>2.5008015613322896</v>
      </c>
      <c r="S47" s="47">
        <v>1.7481736233646093E-2</v>
      </c>
      <c r="T47" s="18">
        <v>86.25</v>
      </c>
      <c r="U47" s="51">
        <v>1.1707752589533247</v>
      </c>
      <c r="Y47" s="53"/>
      <c r="Z47" s="53"/>
    </row>
    <row r="48" spans="2:26" ht="15" customHeight="1" x14ac:dyDescent="0.25">
      <c r="B48" s="6"/>
      <c r="C48" s="6" t="s">
        <v>11</v>
      </c>
      <c r="D48" s="7" t="s">
        <v>72</v>
      </c>
      <c r="E48" s="7"/>
      <c r="F48" s="71">
        <f>IF(C48=hops!$B$2,0,find_c(C48,"hops","B2:B1000",2)/100)</f>
        <v>0</v>
      </c>
      <c r="G48" s="16"/>
      <c r="H48" s="77" t="s">
        <v>10</v>
      </c>
      <c r="I48" s="73" t="str">
        <f t="shared" si="1"/>
        <v>-</v>
      </c>
      <c r="J48" s="37"/>
      <c r="K48" s="90"/>
      <c r="L48" s="90"/>
      <c r="M48" s="90"/>
      <c r="O48" s="84">
        <f t="shared" si="0"/>
        <v>78.5</v>
      </c>
      <c r="P48" s="46">
        <v>11.5</v>
      </c>
      <c r="Q48" s="49">
        <v>68.375884693011898</v>
      </c>
      <c r="R48" s="18">
        <v>2.6050629562169836</v>
      </c>
      <c r="S48" s="47">
        <v>1.9052350771107118E-2</v>
      </c>
      <c r="T48" s="18">
        <v>86.5</v>
      </c>
      <c r="U48" s="51">
        <v>1.2195862735825431</v>
      </c>
      <c r="Y48" s="53"/>
      <c r="Z48" s="53"/>
    </row>
    <row r="49" spans="2:26" ht="15" customHeight="1" x14ac:dyDescent="0.25">
      <c r="B49" s="6"/>
      <c r="C49" s="6" t="s">
        <v>11</v>
      </c>
      <c r="D49" s="7" t="s">
        <v>72</v>
      </c>
      <c r="E49" s="7"/>
      <c r="F49" s="71">
        <f>IF(C49=hops!$B$2,0,find_c(C49,"hops","B2:B1000",2)/100)</f>
        <v>0</v>
      </c>
      <c r="G49" s="16"/>
      <c r="H49" s="77" t="s">
        <v>10</v>
      </c>
      <c r="I49" s="73" t="str">
        <f t="shared" si="1"/>
        <v>-</v>
      </c>
      <c r="J49" s="37"/>
      <c r="K49" s="37"/>
      <c r="L49" s="37"/>
      <c r="M49" s="37"/>
      <c r="O49" s="84">
        <f t="shared" si="0"/>
        <v>78.25</v>
      </c>
      <c r="P49" s="46">
        <v>11.75</v>
      </c>
      <c r="Q49" s="49">
        <v>68.267764756642464</v>
      </c>
      <c r="R49" s="18">
        <v>2.7115051580869061</v>
      </c>
      <c r="S49" s="47">
        <v>2.0730085270612753E-2</v>
      </c>
      <c r="T49" s="18">
        <v>86.75</v>
      </c>
      <c r="U49" s="51">
        <v>1.269418254809966</v>
      </c>
      <c r="Y49" s="53"/>
      <c r="Z49" s="53"/>
    </row>
    <row r="50" spans="2:26" ht="15" customHeight="1" x14ac:dyDescent="0.25">
      <c r="B50" s="6"/>
      <c r="C50" s="6" t="s">
        <v>11</v>
      </c>
      <c r="D50" s="7" t="s">
        <v>72</v>
      </c>
      <c r="E50" s="7"/>
      <c r="F50" s="71">
        <f>IF(C50=hops!$B$2,0,find_c(C50,"hops","B2:B1000",2)/100)</f>
        <v>0</v>
      </c>
      <c r="G50" s="16"/>
      <c r="H50" s="77" t="s">
        <v>10</v>
      </c>
      <c r="I50" s="73" t="str">
        <f t="shared" si="1"/>
        <v>-</v>
      </c>
      <c r="J50" s="37"/>
      <c r="K50" s="89"/>
      <c r="L50" s="89"/>
      <c r="M50" s="89"/>
      <c r="O50" s="84">
        <f t="shared" si="0"/>
        <v>78</v>
      </c>
      <c r="P50" s="46">
        <v>12</v>
      </c>
      <c r="Q50" s="49">
        <v>68.157314917460681</v>
      </c>
      <c r="R50" s="18">
        <v>2.8201643299229557</v>
      </c>
      <c r="S50" s="47">
        <v>2.252075261634208E-2</v>
      </c>
      <c r="T50" s="18">
        <v>87</v>
      </c>
      <c r="U50" s="51">
        <v>1.3202881326967308</v>
      </c>
      <c r="Y50" s="53"/>
      <c r="Z50" s="53"/>
    </row>
    <row r="51" spans="2:26" ht="15" customHeight="1" x14ac:dyDescent="0.25">
      <c r="B51" s="6"/>
      <c r="C51" s="6" t="s">
        <v>11</v>
      </c>
      <c r="D51" s="7" t="s">
        <v>72</v>
      </c>
      <c r="E51" s="7"/>
      <c r="F51" s="71">
        <f>IF(C51=hops!$B$2,0,find_c(C51,"hops","B2:B1000",2)/100)</f>
        <v>0</v>
      </c>
      <c r="G51" s="16"/>
      <c r="H51" s="77" t="s">
        <v>10</v>
      </c>
      <c r="I51" s="73" t="str">
        <f t="shared" si="1"/>
        <v>-</v>
      </c>
      <c r="J51" s="37"/>
      <c r="K51" s="91"/>
      <c r="L51" s="91"/>
      <c r="M51" s="91"/>
      <c r="O51" s="84">
        <f t="shared" si="0"/>
        <v>77.75</v>
      </c>
      <c r="P51" s="46">
        <v>12.25</v>
      </c>
      <c r="Q51" s="49">
        <v>68.044492695077608</v>
      </c>
      <c r="R51" s="18">
        <v>2.9310768607417179</v>
      </c>
      <c r="S51" s="47">
        <v>2.4430444180654782E-2</v>
      </c>
      <c r="T51" s="18">
        <v>87.25</v>
      </c>
      <c r="U51" s="51">
        <v>1.3722129431248424</v>
      </c>
      <c r="Y51" s="53"/>
      <c r="Z51" s="53"/>
    </row>
    <row r="52" spans="2:26" ht="15" customHeight="1" x14ac:dyDescent="0.25">
      <c r="B52" s="6"/>
      <c r="C52" s="6" t="s">
        <v>11</v>
      </c>
      <c r="D52" s="7" t="s">
        <v>72</v>
      </c>
      <c r="E52" s="7"/>
      <c r="F52" s="71">
        <f>IF(C52=hops!$B$2,0,find_c(C52,"hops","B2:B1000",2)/100)</f>
        <v>0</v>
      </c>
      <c r="G52" s="16"/>
      <c r="H52" s="77" t="s">
        <v>10</v>
      </c>
      <c r="I52" s="73" t="str">
        <f t="shared" si="1"/>
        <v>-</v>
      </c>
      <c r="J52" s="37"/>
      <c r="K52" s="91"/>
      <c r="L52" s="91"/>
      <c r="M52" s="91"/>
      <c r="O52" s="84">
        <f t="shared" si="0"/>
        <v>77.5</v>
      </c>
      <c r="P52" s="46">
        <v>12.5</v>
      </c>
      <c r="Q52" s="49">
        <v>67.929255109512539</v>
      </c>
      <c r="R52" s="18">
        <v>3.0442793486395217</v>
      </c>
      <c r="S52" s="47">
        <v>2.646554184791421E-2</v>
      </c>
      <c r="T52" s="18">
        <v>87.5</v>
      </c>
      <c r="U52" s="51">
        <v>1.4252098198590786</v>
      </c>
      <c r="Y52" s="53"/>
      <c r="Z52" s="53"/>
    </row>
    <row r="53" spans="2:26" ht="15" customHeight="1" x14ac:dyDescent="0.25">
      <c r="B53" s="6"/>
      <c r="C53" s="6" t="s">
        <v>11</v>
      </c>
      <c r="D53" s="7" t="s">
        <v>72</v>
      </c>
      <c r="E53" s="7"/>
      <c r="F53" s="71">
        <f>IF(C53=hops!$B$2,0,find_c(C53,"hops","B2:B1000",2)/100)</f>
        <v>0</v>
      </c>
      <c r="G53" s="16"/>
      <c r="H53" s="77" t="s">
        <v>10</v>
      </c>
      <c r="I53" s="73" t="str">
        <f t="shared" si="1"/>
        <v>-</v>
      </c>
      <c r="J53" s="37"/>
      <c r="K53" s="89"/>
      <c r="L53" s="89"/>
      <c r="M53" s="89"/>
      <c r="O53" s="84">
        <f t="shared" si="0"/>
        <v>77.25</v>
      </c>
      <c r="P53" s="46">
        <v>12.75</v>
      </c>
      <c r="Q53" s="49">
        <v>67.81155868674999</v>
      </c>
      <c r="R53" s="18">
        <v>3.1598085827537563</v>
      </c>
      <c r="S53" s="47">
        <v>2.8632730496234379E-2</v>
      </c>
      <c r="T53" s="18">
        <v>87.75</v>
      </c>
      <c r="U53" s="51">
        <v>1.4792959861019985</v>
      </c>
      <c r="Y53" s="53"/>
      <c r="Z53" s="53"/>
    </row>
    <row r="54" spans="2:26" ht="15" customHeight="1" x14ac:dyDescent="0.25">
      <c r="B54" s="6"/>
      <c r="C54" s="6" t="s">
        <v>11</v>
      </c>
      <c r="D54" s="7" t="s">
        <v>72</v>
      </c>
      <c r="E54" s="7"/>
      <c r="F54" s="71">
        <f>IF(C54=hops!$B$2,0,find_c(C54,"hops","B2:B1000",2)/100)</f>
        <v>0</v>
      </c>
      <c r="G54" s="16"/>
      <c r="H54" s="77" t="s">
        <v>10</v>
      </c>
      <c r="I54" s="73" t="str">
        <f t="shared" si="1"/>
        <v>-</v>
      </c>
      <c r="J54" s="37"/>
      <c r="K54" s="89"/>
      <c r="L54" s="89"/>
      <c r="M54" s="89"/>
      <c r="O54" s="84">
        <f t="shared" si="0"/>
        <v>77</v>
      </c>
      <c r="P54" s="46">
        <v>13</v>
      </c>
      <c r="Q54" s="49">
        <v>67.691359464947965</v>
      </c>
      <c r="R54" s="18">
        <v>3.2777015241008374</v>
      </c>
      <c r="S54" s="47">
        <v>3.0939010951176595E-2</v>
      </c>
      <c r="T54" s="18">
        <v>88</v>
      </c>
      <c r="U54" s="51">
        <v>1.534488745523048</v>
      </c>
      <c r="Y54" s="53"/>
      <c r="Z54" s="53"/>
    </row>
    <row r="55" spans="2:26" ht="15" customHeight="1" x14ac:dyDescent="0.25">
      <c r="B55" s="6"/>
      <c r="C55" s="6" t="s">
        <v>11</v>
      </c>
      <c r="D55" s="7" t="s">
        <v>72</v>
      </c>
      <c r="E55" s="7"/>
      <c r="F55" s="71">
        <f>IF(C55=hops!$B$2,0,find_c(C55,"hops","B2:B1000",2)/100)</f>
        <v>0</v>
      </c>
      <c r="G55" s="16"/>
      <c r="H55" s="77" t="s">
        <v>10</v>
      </c>
      <c r="I55" s="73" t="str">
        <f t="shared" si="1"/>
        <v>-</v>
      </c>
      <c r="K55" s="89"/>
      <c r="L55" s="89"/>
      <c r="M55" s="89"/>
      <c r="O55" s="84">
        <f t="shared" si="0"/>
        <v>76.75</v>
      </c>
      <c r="P55" s="46">
        <v>13.25</v>
      </c>
      <c r="Q55" s="49">
        <v>67.568613001325019</v>
      </c>
      <c r="R55" s="18">
        <v>3.3979952852493285</v>
      </c>
      <c r="S55" s="47">
        <v>3.3391713425632769E-2</v>
      </c>
      <c r="T55" s="18">
        <v>88.25</v>
      </c>
      <c r="U55" s="51">
        <v>1.5908054727423258</v>
      </c>
      <c r="Y55" s="53"/>
      <c r="Z55" s="53"/>
    </row>
    <row r="56" spans="2:26" ht="15" customHeight="1" x14ac:dyDescent="0.25">
      <c r="B56" s="6"/>
      <c r="C56" s="6" t="s">
        <v>11</v>
      </c>
      <c r="D56" s="7" t="s">
        <v>72</v>
      </c>
      <c r="E56" s="7"/>
      <c r="F56" s="71">
        <f>IF(C56=hops!$B$2,0,find_c(C56,"hops","B2:B1000",2)/100)</f>
        <v>0</v>
      </c>
      <c r="G56" s="16"/>
      <c r="H56" s="77" t="s">
        <v>10</v>
      </c>
      <c r="I56" s="73" t="str">
        <f t="shared" si="1"/>
        <v>-</v>
      </c>
      <c r="J56" s="37"/>
      <c r="K56" s="89"/>
      <c r="L56" s="89"/>
      <c r="M56" s="89"/>
      <c r="O56" s="84">
        <f t="shared" si="0"/>
        <v>76.5</v>
      </c>
      <c r="P56" s="46">
        <v>13.5</v>
      </c>
      <c r="Q56" s="49">
        <v>67.443274379753802</v>
      </c>
      <c r="R56" s="18">
        <v>3.5207271087858452</v>
      </c>
      <c r="S56" s="47">
        <v>3.5998511460329542E-2</v>
      </c>
      <c r="T56" s="18">
        <v>88.5</v>
      </c>
      <c r="U56" s="51">
        <v>1.6482636032491813</v>
      </c>
      <c r="Y56" s="53"/>
      <c r="Z56" s="53"/>
    </row>
    <row r="57" spans="2:26" ht="15" customHeight="1" x14ac:dyDescent="0.25">
      <c r="B57" s="6"/>
      <c r="C57" s="6" t="s">
        <v>11</v>
      </c>
      <c r="D57" s="7" t="s">
        <v>72</v>
      </c>
      <c r="E57" s="7"/>
      <c r="F57" s="71">
        <f>IF(C57=hops!$B$2,0,find_c(C57,"hops","B2:B1000",2)/100)</f>
        <v>0</v>
      </c>
      <c r="G57" s="16"/>
      <c r="H57" s="77" t="s">
        <v>10</v>
      </c>
      <c r="I57" s="73" t="str">
        <f t="shared" si="1"/>
        <v>-</v>
      </c>
      <c r="J57" s="37"/>
      <c r="K57" s="37"/>
      <c r="L57" s="37"/>
      <c r="M57" s="42"/>
      <c r="O57" s="84">
        <f t="shared" si="0"/>
        <v>76.25</v>
      </c>
      <c r="P57" s="46">
        <v>13.75</v>
      </c>
      <c r="Q57" s="49">
        <v>67.315298219089911</v>
      </c>
      <c r="R57" s="18">
        <v>3.6459343445305032</v>
      </c>
      <c r="S57" s="47">
        <v>3.8767436379569337E-2</v>
      </c>
      <c r="T57" s="18">
        <v>88.75</v>
      </c>
      <c r="U57" s="51">
        <v>1.7068806227354003</v>
      </c>
      <c r="Y57" s="53"/>
      <c r="Z57" s="53"/>
    </row>
    <row r="58" spans="2:26" ht="15" customHeight="1" x14ac:dyDescent="0.25">
      <c r="B58" s="6"/>
      <c r="C58" s="6" t="s">
        <v>11</v>
      </c>
      <c r="D58" s="7" t="s">
        <v>72</v>
      </c>
      <c r="E58" s="7"/>
      <c r="F58" s="71">
        <f>IF(C58=hops!$B$2,0,find_c(C58,"hops","B2:B1000",2)/100)</f>
        <v>0</v>
      </c>
      <c r="G58" s="16"/>
      <c r="H58" s="77" t="s">
        <v>10</v>
      </c>
      <c r="I58" s="73" t="str">
        <f t="shared" si="1"/>
        <v>-</v>
      </c>
      <c r="J58" s="37"/>
      <c r="K58" s="37"/>
      <c r="L58" s="37"/>
      <c r="M58" s="42"/>
      <c r="O58" s="84">
        <f t="shared" si="0"/>
        <v>76</v>
      </c>
      <c r="P58" s="46">
        <v>14</v>
      </c>
      <c r="Q58" s="49">
        <v>67.184638682265145</v>
      </c>
      <c r="R58" s="18">
        <v>3.773654425457845</v>
      </c>
      <c r="S58" s="47">
        <v>4.1706892276988872E-2</v>
      </c>
      <c r="T58" s="18">
        <v>89</v>
      </c>
      <c r="U58" s="51">
        <v>1.7666740558223446</v>
      </c>
      <c r="Y58" s="53"/>
      <c r="Z58" s="53"/>
    </row>
    <row r="59" spans="2:26" ht="15" customHeight="1" x14ac:dyDescent="0.25">
      <c r="B59" s="6"/>
      <c r="C59" s="6" t="s">
        <v>11</v>
      </c>
      <c r="D59" s="7" t="s">
        <v>72</v>
      </c>
      <c r="E59" s="7"/>
      <c r="F59" s="71">
        <f>IF(C59=hops!$B$2,0,find_c(C59,"hops","B2:B1000",2)/100)</f>
        <v>0</v>
      </c>
      <c r="G59" s="16"/>
      <c r="H59" s="77" t="s">
        <v>10</v>
      </c>
      <c r="I59" s="73" t="str">
        <f t="shared" si="1"/>
        <v>-</v>
      </c>
      <c r="K59" s="37"/>
      <c r="L59" s="37"/>
      <c r="M59" s="37"/>
      <c r="O59" s="84">
        <f t="shared" si="0"/>
        <v>75.75</v>
      </c>
      <c r="P59" s="46">
        <v>14.25</v>
      </c>
      <c r="Q59" s="49">
        <v>67.051249486175351</v>
      </c>
      <c r="R59" s="18">
        <v>3.9039248422783599</v>
      </c>
      <c r="S59" s="47">
        <v>4.4825671546261242E-2</v>
      </c>
      <c r="T59" s="18">
        <v>89.25</v>
      </c>
      <c r="U59" s="51">
        <v>1.827661454161037</v>
      </c>
      <c r="Y59" s="53"/>
      <c r="Z59" s="53"/>
    </row>
    <row r="60" spans="2:26" ht="15" customHeight="1" x14ac:dyDescent="0.25">
      <c r="B60" s="6"/>
      <c r="C60" s="6" t="s">
        <v>11</v>
      </c>
      <c r="D60" s="7" t="s">
        <v>72</v>
      </c>
      <c r="E60" s="7"/>
      <c r="F60" s="71">
        <f>IF(C60=hops!$B$2,0,find_c(C60,"hops","B2:B1000",2)/100)</f>
        <v>0</v>
      </c>
      <c r="G60" s="16"/>
      <c r="H60" s="77" t="s">
        <v>10</v>
      </c>
      <c r="I60" s="73" t="str">
        <f t="shared" si="1"/>
        <v>-</v>
      </c>
      <c r="K60" s="37"/>
      <c r="L60" s="37"/>
      <c r="M60" s="37"/>
      <c r="O60" s="84">
        <f t="shared" si="0"/>
        <v>75.5</v>
      </c>
      <c r="P60" s="46">
        <v>14.5</v>
      </c>
      <c r="Q60" s="49">
        <v>66.915083912393243</v>
      </c>
      <c r="R60" s="18">
        <v>4.0367831166349371</v>
      </c>
      <c r="S60" s="47">
        <v>4.8132970971791221E-2</v>
      </c>
      <c r="T60" s="18">
        <v>89.5</v>
      </c>
      <c r="U60" s="51">
        <v>1.8898603838838122</v>
      </c>
      <c r="Y60" s="53"/>
      <c r="Z60" s="53"/>
    </row>
    <row r="61" spans="2:26" ht="15" customHeight="1" x14ac:dyDescent="0.25">
      <c r="B61" s="6"/>
      <c r="C61" s="6" t="s">
        <v>11</v>
      </c>
      <c r="D61" s="7" t="s">
        <v>72</v>
      </c>
      <c r="E61" s="7"/>
      <c r="F61" s="71">
        <f>IF(C61=hops!$B$2,0,find_c(C61,"hops","B2:B1000",2)/100)</f>
        <v>0</v>
      </c>
      <c r="G61" s="16"/>
      <c r="H61" s="77" t="s">
        <v>10</v>
      </c>
      <c r="I61" s="73" t="str">
        <f t="shared" si="1"/>
        <v>-</v>
      </c>
      <c r="K61" s="37"/>
      <c r="L61" s="37"/>
      <c r="M61" s="37"/>
      <c r="O61" s="84">
        <f t="shared" si="0"/>
        <v>75.25</v>
      </c>
      <c r="P61" s="46">
        <v>14.75</v>
      </c>
      <c r="Q61" s="49">
        <v>66.77609481873759</v>
      </c>
      <c r="R61" s="18">
        <v>4.1722667728678333</v>
      </c>
      <c r="S61" s="47">
        <v>5.1638408394554421E-2</v>
      </c>
      <c r="T61" s="18">
        <v>89.75</v>
      </c>
      <c r="U61" s="51">
        <v>1.9532884123858048</v>
      </c>
      <c r="Y61" s="53"/>
      <c r="Z61" s="53"/>
    </row>
    <row r="62" spans="2:26" ht="15" customHeight="1" x14ac:dyDescent="0.25">
      <c r="B62" s="6"/>
      <c r="C62" s="6" t="s">
        <v>11</v>
      </c>
      <c r="D62" s="7" t="s">
        <v>72</v>
      </c>
      <c r="E62" s="7"/>
      <c r="F62" s="71">
        <f>IF(C62=hops!$B$2,0,find_c(C62,"hops","B2:B1000",2)/100)</f>
        <v>0</v>
      </c>
      <c r="G62" s="16"/>
      <c r="H62" s="77" t="s">
        <v>10</v>
      </c>
      <c r="I62" s="73" t="str">
        <f t="shared" si="1"/>
        <v>-</v>
      </c>
      <c r="K62" s="37"/>
      <c r="L62" s="37"/>
      <c r="M62" s="37"/>
      <c r="O62" s="84">
        <f t="shared" si="0"/>
        <v>75</v>
      </c>
      <c r="P62" s="46">
        <v>15</v>
      </c>
      <c r="Q62" s="49">
        <v>66.634234651730637</v>
      </c>
      <c r="R62" s="18">
        <v>4.3104133083010359</v>
      </c>
      <c r="S62" s="47">
        <v>5.5352039968305088E-2</v>
      </c>
      <c r="T62" s="18">
        <v>90</v>
      </c>
      <c r="U62" s="51">
        <v>2.0179630944142128</v>
      </c>
      <c r="Y62" s="53"/>
      <c r="Z62" s="53"/>
    </row>
    <row r="63" spans="2:26" ht="15" customHeight="1" x14ac:dyDescent="0.25">
      <c r="B63" s="6"/>
      <c r="C63" s="6" t="s">
        <v>11</v>
      </c>
      <c r="D63" s="7" t="s">
        <v>72</v>
      </c>
      <c r="E63" s="7"/>
      <c r="F63" s="71">
        <f>IF(C63=hops!$B$2,0,find_c(C63,"hops","B2:B1000",2)/100)</f>
        <v>0</v>
      </c>
      <c r="G63" s="16"/>
      <c r="H63" s="77" t="s">
        <v>10</v>
      </c>
      <c r="I63" s="73" t="str">
        <f t="shared" si="1"/>
        <v>-</v>
      </c>
      <c r="K63" s="37"/>
      <c r="L63" s="37"/>
      <c r="M63" s="37"/>
      <c r="O63" s="84">
        <f t="shared" si="0"/>
        <v>74.75</v>
      </c>
      <c r="P63" s="46">
        <v>15.25</v>
      </c>
      <c r="Q63" s="49">
        <v>66.489455459976327</v>
      </c>
      <c r="R63" s="18">
        <v>4.4512601620022316</v>
      </c>
      <c r="S63" s="47">
        <v>5.9284378021423861E-2</v>
      </c>
      <c r="T63" s="18">
        <v>90.25</v>
      </c>
      <c r="U63" s="51">
        <v>2.0839019574429649</v>
      </c>
      <c r="Y63" s="53"/>
      <c r="Z63" s="53"/>
    </row>
    <row r="64" spans="2:26" ht="15" customHeight="1" x14ac:dyDescent="0.25">
      <c r="B64" s="6"/>
      <c r="C64" s="6" t="s">
        <v>11</v>
      </c>
      <c r="D64" s="7" t="s">
        <v>72</v>
      </c>
      <c r="E64" s="7"/>
      <c r="F64" s="71">
        <f>IF(C64=hops!$B$2,0,find_c(C64,"hops","B2:B1000",2)/100)</f>
        <v>0</v>
      </c>
      <c r="G64" s="16"/>
      <c r="H64" s="77" t="s">
        <v>10</v>
      </c>
      <c r="I64" s="73" t="str">
        <f t="shared" si="1"/>
        <v>-</v>
      </c>
      <c r="K64" s="37"/>
      <c r="L64" s="37"/>
      <c r="M64" s="37"/>
      <c r="O64" s="84">
        <f t="shared" si="0"/>
        <v>74.5</v>
      </c>
      <c r="P64" s="46">
        <v>15.5</v>
      </c>
      <c r="Q64" s="49">
        <v>66.341708908492322</v>
      </c>
      <c r="R64" s="18">
        <v>4.5948446819679676</v>
      </c>
      <c r="S64" s="47">
        <v>6.3446409539691967E-2</v>
      </c>
      <c r="T64" s="18">
        <v>90.5</v>
      </c>
      <c r="U64" s="51">
        <v>2.1511224863101237</v>
      </c>
      <c r="Y64" s="53"/>
      <c r="Z64" s="53"/>
    </row>
    <row r="65" spans="2:26" ht="15" customHeight="1" x14ac:dyDescent="0.25">
      <c r="B65" s="6"/>
      <c r="C65" s="6" t="s">
        <v>11</v>
      </c>
      <c r="D65" s="7" t="s">
        <v>72</v>
      </c>
      <c r="E65" s="7"/>
      <c r="F65" s="71">
        <f>IF(C65=hops!$B$2,0,find_c(C65,"hops","B2:B1000",2)/100)</f>
        <v>0</v>
      </c>
      <c r="G65" s="16"/>
      <c r="H65" s="77" t="s">
        <v>10</v>
      </c>
      <c r="I65" s="73" t="str">
        <f t="shared" si="1"/>
        <v>-</v>
      </c>
      <c r="K65" s="37"/>
      <c r="L65" s="37"/>
      <c r="M65" s="37"/>
      <c r="O65" s="84">
        <f t="shared" si="0"/>
        <v>74.25</v>
      </c>
      <c r="P65" s="46">
        <v>15.75</v>
      </c>
      <c r="Q65" s="49">
        <v>66.190946294029686</v>
      </c>
      <c r="R65" s="18">
        <v>4.7412040906850308</v>
      </c>
      <c r="S65" s="47">
        <v>6.7849615285259748E-2</v>
      </c>
      <c r="T65" s="18">
        <v>90.75</v>
      </c>
      <c r="U65" s="51">
        <v>2.2196421070951042</v>
      </c>
      <c r="Y65" s="53"/>
      <c r="Z65" s="53"/>
    </row>
    <row r="66" spans="2:26" ht="15" customHeight="1" x14ac:dyDescent="0.25">
      <c r="B66" s="6"/>
      <c r="C66" s="6" t="s">
        <v>11</v>
      </c>
      <c r="D66" s="7" t="s">
        <v>72</v>
      </c>
      <c r="E66" s="7"/>
      <c r="F66" s="71">
        <f>IF(C66=hops!$B$2,0,find_c(C66,"hops","B2:B1000",2)/100)</f>
        <v>0</v>
      </c>
      <c r="G66" s="16"/>
      <c r="H66" s="77" t="s">
        <v>10</v>
      </c>
      <c r="I66" s="73" t="str">
        <f t="shared" si="1"/>
        <v>-</v>
      </c>
      <c r="K66" s="37"/>
      <c r="L66" s="37"/>
      <c r="M66" s="37"/>
      <c r="O66" s="84">
        <f t="shared" si="0"/>
        <v>74</v>
      </c>
      <c r="P66" s="46">
        <v>16</v>
      </c>
      <c r="Q66" s="49">
        <v>66.037118561414388</v>
      </c>
      <c r="R66" s="18">
        <v>4.8903754490185669</v>
      </c>
      <c r="S66" s="47">
        <v>7.2505989567022339E-2</v>
      </c>
      <c r="T66" s="18">
        <v>91</v>
      </c>
      <c r="U66" s="51">
        <v>2.2894781702125324</v>
      </c>
      <c r="Y66" s="53"/>
      <c r="Z66" s="53"/>
    </row>
    <row r="67" spans="2:26" ht="15" customHeight="1" x14ac:dyDescent="0.25">
      <c r="B67" s="6"/>
      <c r="C67" s="6" t="s">
        <v>11</v>
      </c>
      <c r="D67" s="7" t="s">
        <v>72</v>
      </c>
      <c r="E67" s="7"/>
      <c r="F67" s="71">
        <f>IF(C67=hops!$B$2,0,find_c(C67,"hops","B2:B1000",2)/100)</f>
        <v>0</v>
      </c>
      <c r="G67" s="16"/>
      <c r="H67" s="77" t="s">
        <v>10</v>
      </c>
      <c r="I67" s="73" t="str">
        <f t="shared" si="1"/>
        <v>-</v>
      </c>
      <c r="K67" s="37"/>
      <c r="L67" s="37"/>
      <c r="M67" s="37"/>
      <c r="O67" s="84">
        <f t="shared" ref="O67:O130" si="2">90-P67</f>
        <v>73.75</v>
      </c>
      <c r="P67" s="46">
        <v>16.25</v>
      </c>
      <c r="Q67" s="49">
        <v>65.880176320945452</v>
      </c>
      <c r="R67" s="18">
        <v>5.0423956183770047</v>
      </c>
      <c r="S67" s="47">
        <v>7.7428060677520283E-2</v>
      </c>
      <c r="T67" s="18">
        <v>91.25</v>
      </c>
      <c r="U67" s="51">
        <v>2.3606479326993788</v>
      </c>
      <c r="Y67" s="53"/>
      <c r="Z67" s="53"/>
    </row>
    <row r="68" spans="2:26" ht="15" customHeight="1" x14ac:dyDescent="0.25">
      <c r="B68" s="6"/>
      <c r="C68" s="6" t="s">
        <v>11</v>
      </c>
      <c r="D68" s="7" t="s">
        <v>72</v>
      </c>
      <c r="E68" s="7"/>
      <c r="F68" s="71">
        <f>IF(C68=hops!$B$2,0,find_c(C68,"hops","B2:B1000",2)/100)</f>
        <v>0</v>
      </c>
      <c r="G68" s="16"/>
      <c r="H68" s="77" t="s">
        <v>10</v>
      </c>
      <c r="I68" s="73" t="str">
        <f t="shared" si="1"/>
        <v>-</v>
      </c>
      <c r="K68" s="37"/>
      <c r="L68" s="37"/>
      <c r="M68" s="37"/>
      <c r="O68" s="84">
        <f t="shared" si="2"/>
        <v>73.5</v>
      </c>
      <c r="P68" s="46">
        <v>16.5</v>
      </c>
      <c r="Q68" s="49">
        <v>65.720069866885126</v>
      </c>
      <c r="R68" s="18">
        <v>5.1973012211035021</v>
      </c>
      <c r="S68" s="47">
        <v>8.2628912011344577E-2</v>
      </c>
      <c r="T68" s="18">
        <v>91.5</v>
      </c>
      <c r="U68" s="51">
        <v>2.4331685396718159</v>
      </c>
      <c r="Y68" s="53"/>
      <c r="Z68" s="53"/>
    </row>
    <row r="69" spans="2:26" ht="15" customHeight="1" x14ac:dyDescent="0.25">
      <c r="B69" s="6"/>
      <c r="C69" s="6" t="s">
        <v>11</v>
      </c>
      <c r="D69" s="7" t="s">
        <v>72</v>
      </c>
      <c r="E69" s="7"/>
      <c r="F69" s="71">
        <f>IF(C69=hops!$B$2,0,find_c(C69,"hops","B2:B1000",2)/100)</f>
        <v>0</v>
      </c>
      <c r="G69" s="16"/>
      <c r="H69" s="77" t="s">
        <v>10</v>
      </c>
      <c r="I69" s="73" t="str">
        <f t="shared" si="1"/>
        <v>-</v>
      </c>
      <c r="K69" s="37"/>
      <c r="L69" s="37"/>
      <c r="M69" s="37"/>
      <c r="O69" s="84">
        <f t="shared" si="2"/>
        <v>73.25</v>
      </c>
      <c r="P69" s="46">
        <v>16.75</v>
      </c>
      <c r="Q69" s="49">
        <v>65.556749197076812</v>
      </c>
      <c r="R69" s="18">
        <v>5.3551285990433231</v>
      </c>
      <c r="S69" s="47">
        <v>8.8122203879841002E-2</v>
      </c>
      <c r="T69" s="18">
        <v>91.75</v>
      </c>
      <c r="U69" s="51">
        <v>2.507057004928122</v>
      </c>
      <c r="Y69" s="53"/>
      <c r="Z69" s="53"/>
    </row>
    <row r="70" spans="2:26" ht="15" customHeight="1" x14ac:dyDescent="0.25">
      <c r="B70" s="6"/>
      <c r="C70" s="6" t="s">
        <v>11</v>
      </c>
      <c r="D70" s="7" t="s">
        <v>72</v>
      </c>
      <c r="E70" s="7"/>
      <c r="F70" s="71">
        <f>IF(C70=hops!$B$2,0,find_c(C70,"hops","B2:B1000",2)/100)</f>
        <v>0</v>
      </c>
      <c r="G70" s="16"/>
      <c r="H70" s="77" t="s">
        <v>10</v>
      </c>
      <c r="I70" s="73" t="str">
        <f t="shared" ref="I70:I133" si="3">IF((H70)="-","-",H70/$K$13)</f>
        <v>-</v>
      </c>
      <c r="K70" s="37"/>
      <c r="L70" s="37"/>
      <c r="M70" s="37"/>
      <c r="O70" s="84">
        <f t="shared" si="2"/>
        <v>73</v>
      </c>
      <c r="P70" s="46">
        <v>17</v>
      </c>
      <c r="Q70" s="49">
        <v>65.390164033726961</v>
      </c>
      <c r="R70" s="18">
        <v>5.5159137702363461</v>
      </c>
      <c r="S70" s="47">
        <v>9.3922196036673733E-2</v>
      </c>
      <c r="T70" s="18">
        <v>92</v>
      </c>
      <c r="U70" s="51">
        <v>2.5823301906738481</v>
      </c>
      <c r="Y70" s="53"/>
      <c r="Z70" s="53"/>
    </row>
    <row r="71" spans="2:26" ht="15" customHeight="1" x14ac:dyDescent="0.25">
      <c r="B71" s="6"/>
      <c r="C71" s="6" t="s">
        <v>11</v>
      </c>
      <c r="D71" s="7" t="s">
        <v>72</v>
      </c>
      <c r="E71" s="7"/>
      <c r="F71" s="71">
        <f>IF(C71=hops!$B$2,0,find_c(C71,"hops","B2:B1000",2)/100)</f>
        <v>0</v>
      </c>
      <c r="G71" s="16"/>
      <c r="H71" s="77" t="s">
        <v>10</v>
      </c>
      <c r="I71" s="73" t="str">
        <f t="shared" si="3"/>
        <v>-</v>
      </c>
      <c r="K71" s="37"/>
      <c r="L71" s="37"/>
      <c r="M71" s="37"/>
      <c r="O71" s="84">
        <f t="shared" si="2"/>
        <v>72.75</v>
      </c>
      <c r="P71" s="46">
        <v>17.25</v>
      </c>
      <c r="Q71" s="49">
        <v>65.220263845387649</v>
      </c>
      <c r="R71" s="18">
        <v>5.6796923836838182</v>
      </c>
      <c r="S71" s="47">
        <v>0.10004377092851953</v>
      </c>
      <c r="T71" s="18">
        <v>92.25</v>
      </c>
      <c r="U71" s="51">
        <v>2.6590047863454167</v>
      </c>
      <c r="Y71" s="53"/>
      <c r="Z71" s="53"/>
    </row>
    <row r="72" spans="2:26" ht="15" customHeight="1" x14ac:dyDescent="0.25">
      <c r="B72" s="6"/>
      <c r="C72" s="6" t="s">
        <v>11</v>
      </c>
      <c r="D72" s="7" t="s">
        <v>72</v>
      </c>
      <c r="E72" s="7"/>
      <c r="F72" s="71">
        <f>IF(C72=hops!$B$2,0,find_c(C72,"hops","B2:B1000",2)/100)</f>
        <v>0</v>
      </c>
      <c r="G72" s="16"/>
      <c r="H72" s="77" t="s">
        <v>10</v>
      </c>
      <c r="I72" s="73" t="str">
        <f t="shared" si="3"/>
        <v>-</v>
      </c>
      <c r="K72" s="37"/>
      <c r="L72" s="37"/>
      <c r="M72" s="37"/>
      <c r="O72" s="84">
        <f t="shared" si="2"/>
        <v>72.5</v>
      </c>
      <c r="P72" s="46">
        <v>17.5</v>
      </c>
      <c r="Q72" s="49">
        <v>65.046997870176767</v>
      </c>
      <c r="R72" s="18">
        <v>5.8464996721384068</v>
      </c>
      <c r="S72" s="47">
        <v>0.10650245768481634</v>
      </c>
      <c r="T72" s="18">
        <v>92.5</v>
      </c>
      <c r="U72" s="51">
        <v>2.7370972865083165</v>
      </c>
      <c r="Y72" s="53"/>
      <c r="Z72" s="53"/>
    </row>
    <row r="73" spans="2:26" ht="15" customHeight="1" x14ac:dyDescent="0.25">
      <c r="B73" s="6"/>
      <c r="C73" s="6" t="s">
        <v>11</v>
      </c>
      <c r="D73" s="7" t="s">
        <v>72</v>
      </c>
      <c r="E73" s="7"/>
      <c r="F73" s="71">
        <f>IF(C73=hops!$B$2,0,find_c(C73,"hops","B2:B1000",2)/100)</f>
        <v>0</v>
      </c>
      <c r="G73" s="16"/>
      <c r="H73" s="77" t="s">
        <v>10</v>
      </c>
      <c r="I73" s="73" t="str">
        <f t="shared" si="3"/>
        <v>-</v>
      </c>
      <c r="K73" s="37"/>
      <c r="L73" s="37"/>
      <c r="M73" s="37"/>
      <c r="O73" s="84">
        <f t="shared" si="2"/>
        <v>72.25</v>
      </c>
      <c r="P73" s="46">
        <v>17.75</v>
      </c>
      <c r="Q73" s="49">
        <v>64.870315140273149</v>
      </c>
      <c r="R73" s="18">
        <v>6.0163704028667535</v>
      </c>
      <c r="S73" s="47">
        <v>0.11331445686008136</v>
      </c>
      <c r="T73" s="18">
        <v>92.75</v>
      </c>
      <c r="U73" s="51">
        <v>2.8166239678060996</v>
      </c>
      <c r="Y73" s="53"/>
      <c r="Z73" s="53"/>
    </row>
    <row r="74" spans="2:26" ht="15" customHeight="1" x14ac:dyDescent="0.25">
      <c r="B74" s="6"/>
      <c r="C74" s="6" t="s">
        <v>11</v>
      </c>
      <c r="D74" s="7" t="s">
        <v>72</v>
      </c>
      <c r="E74" s="7"/>
      <c r="F74" s="71">
        <f>IF(C74=hops!$B$2,0,find_c(C74,"hops","B2:B1000",2)/100)</f>
        <v>0</v>
      </c>
      <c r="G74" s="16"/>
      <c r="H74" s="77" t="s">
        <v>10</v>
      </c>
      <c r="I74" s="73" t="str">
        <f t="shared" si="3"/>
        <v>-</v>
      </c>
      <c r="K74" s="37"/>
      <c r="L74" s="37"/>
      <c r="M74" s="37"/>
      <c r="O74" s="84">
        <f t="shared" si="2"/>
        <v>72</v>
      </c>
      <c r="P74" s="46">
        <v>18</v>
      </c>
      <c r="Q74" s="49">
        <v>64.690164507724234</v>
      </c>
      <c r="R74" s="18">
        <v>6.1893388263339073</v>
      </c>
      <c r="S74" s="47">
        <v>0.12049666594183797</v>
      </c>
      <c r="T74" s="18">
        <v>93</v>
      </c>
      <c r="U74" s="51">
        <v>2.8976008649364817</v>
      </c>
      <c r="Y74" s="53"/>
      <c r="Z74" s="53"/>
    </row>
    <row r="75" spans="2:26" ht="15" customHeight="1" x14ac:dyDescent="0.25">
      <c r="B75" s="6"/>
      <c r="C75" s="6" t="s">
        <v>11</v>
      </c>
      <c r="D75" s="7" t="s">
        <v>72</v>
      </c>
      <c r="E75" s="7"/>
      <c r="F75" s="71">
        <f>IF(C75=hops!$B$2,0,find_c(C75,"hops","B2:B1000",2)/100)</f>
        <v>0</v>
      </c>
      <c r="G75" s="16"/>
      <c r="H75" s="77" t="s">
        <v>10</v>
      </c>
      <c r="I75" s="73" t="str">
        <f t="shared" si="3"/>
        <v>-</v>
      </c>
      <c r="K75" s="37"/>
      <c r="L75" s="37"/>
      <c r="M75" s="37"/>
      <c r="O75" s="84">
        <f t="shared" si="2"/>
        <v>71.75</v>
      </c>
      <c r="P75" s="46">
        <v>18.25</v>
      </c>
      <c r="Q75" s="49">
        <v>64.50649467160396</v>
      </c>
      <c r="R75" s="18">
        <v>6.3654386227593758</v>
      </c>
      <c r="S75" s="47">
        <v>0.1280667056366433</v>
      </c>
      <c r="T75" s="18">
        <v>93.25</v>
      </c>
      <c r="U75" s="51">
        <v>2.9800437456310291</v>
      </c>
      <c r="Y75" s="53"/>
      <c r="Z75" s="53"/>
    </row>
    <row r="76" spans="2:26" ht="15" customHeight="1" x14ac:dyDescent="0.25">
      <c r="B76" s="6"/>
      <c r="C76" s="6" t="s">
        <v>11</v>
      </c>
      <c r="D76" s="7" t="s">
        <v>72</v>
      </c>
      <c r="E76" s="7"/>
      <c r="F76" s="71">
        <f>IF(C76=hops!$B$2,0,find_c(C76,"hops","B2:B1000",2)/100)</f>
        <v>0</v>
      </c>
      <c r="G76" s="16"/>
      <c r="H76" s="77" t="s">
        <v>10</v>
      </c>
      <c r="I76" s="73" t="str">
        <f t="shared" si="3"/>
        <v>-</v>
      </c>
      <c r="K76" s="37"/>
      <c r="L76" s="37"/>
      <c r="M76" s="37"/>
      <c r="O76" s="84">
        <f t="shared" si="2"/>
        <v>71.5</v>
      </c>
      <c r="P76" s="46">
        <v>18.5</v>
      </c>
      <c r="Q76" s="49">
        <v>64.319254206558895</v>
      </c>
      <c r="R76" s="18">
        <v>6.5447028464949923</v>
      </c>
      <c r="S76" s="47">
        <v>0.13604294694608526</v>
      </c>
      <c r="T76" s="18">
        <v>93.5</v>
      </c>
      <c r="U76" s="51">
        <v>3.0639680846150954</v>
      </c>
      <c r="Y76" s="53"/>
      <c r="Z76" s="53"/>
    </row>
    <row r="77" spans="2:26" ht="15" customHeight="1" x14ac:dyDescent="0.25">
      <c r="B77" s="6"/>
      <c r="C77" s="6" t="s">
        <v>11</v>
      </c>
      <c r="D77" s="7" t="s">
        <v>72</v>
      </c>
      <c r="E77" s="7"/>
      <c r="F77" s="71">
        <f>IF(C77=hops!$B$2,0,find_c(C77,"hops","B2:B1000",2)/100)</f>
        <v>0</v>
      </c>
      <c r="G77" s="16"/>
      <c r="H77" s="77" t="s">
        <v>10</v>
      </c>
      <c r="I77" s="73" t="str">
        <f t="shared" si="3"/>
        <v>-</v>
      </c>
      <c r="K77" s="37"/>
      <c r="L77" s="37"/>
      <c r="M77" s="37"/>
      <c r="O77" s="84">
        <f t="shared" si="2"/>
        <v>71.25</v>
      </c>
      <c r="P77" s="46">
        <v>18.75</v>
      </c>
      <c r="Q77" s="49">
        <v>64.128391592780602</v>
      </c>
      <c r="R77" s="18">
        <v>6.7271638681754586</v>
      </c>
      <c r="S77" s="47">
        <v>0.14444453904391422</v>
      </c>
      <c r="T77" s="18">
        <v>93.75</v>
      </c>
      <c r="U77" s="51">
        <v>3.1493890365250228</v>
      </c>
      <c r="Y77" s="53"/>
      <c r="Z77" s="53"/>
    </row>
    <row r="78" spans="2:26" ht="15" customHeight="1" x14ac:dyDescent="0.25">
      <c r="B78" s="6"/>
      <c r="C78" s="6" t="s">
        <v>11</v>
      </c>
      <c r="D78" s="7" t="s">
        <v>72</v>
      </c>
      <c r="E78" s="7"/>
      <c r="F78" s="71">
        <f>IF(C78=hops!$B$2,0,find_c(C78,"hops","B2:B1000",2)/100)</f>
        <v>0</v>
      </c>
      <c r="G78" s="16"/>
      <c r="H78" s="77" t="s">
        <v>10</v>
      </c>
      <c r="I78" s="73" t="str">
        <f t="shared" si="3"/>
        <v>-</v>
      </c>
      <c r="K78" s="37"/>
      <c r="L78" s="37"/>
      <c r="M78" s="37"/>
      <c r="O78" s="84">
        <f t="shared" si="2"/>
        <v>71</v>
      </c>
      <c r="P78" s="46">
        <v>19</v>
      </c>
      <c r="Q78" s="49">
        <v>63.933855247442146</v>
      </c>
      <c r="R78" s="18">
        <v>6.9128533145931454</v>
      </c>
      <c r="S78" s="47">
        <v>0.15329143796468236</v>
      </c>
      <c r="T78" s="18">
        <v>94</v>
      </c>
      <c r="U78" s="51">
        <v>3.2363214077599269</v>
      </c>
      <c r="Y78" s="53"/>
      <c r="Z78" s="53"/>
    </row>
    <row r="79" spans="2:26" ht="15" customHeight="1" x14ac:dyDescent="0.25">
      <c r="B79" s="6"/>
      <c r="C79" s="6" t="s">
        <v>11</v>
      </c>
      <c r="D79" s="7" t="s">
        <v>72</v>
      </c>
      <c r="E79" s="7"/>
      <c r="F79" s="71">
        <f>IF(C79=hops!$B$2,0,find_c(C79,"hops","B2:B1000",2)/100)</f>
        <v>0</v>
      </c>
      <c r="G79" s="16"/>
      <c r="H79" s="77" t="s">
        <v>10</v>
      </c>
      <c r="I79" s="73" t="str">
        <f t="shared" si="3"/>
        <v>-</v>
      </c>
      <c r="K79" s="37"/>
      <c r="L79" s="37"/>
      <c r="M79" s="37"/>
      <c r="O79" s="84">
        <f t="shared" si="2"/>
        <v>70.75</v>
      </c>
      <c r="P79" s="46">
        <v>19.25</v>
      </c>
      <c r="Q79" s="49">
        <v>63.735593557636861</v>
      </c>
      <c r="R79" s="18">
        <v>7.1018020062497316</v>
      </c>
      <c r="S79" s="47">
        <v>0.16260443611338307</v>
      </c>
      <c r="T79" s="18">
        <v>94.25</v>
      </c>
      <c r="U79" s="51">
        <v>3.3247796272458747</v>
      </c>
      <c r="Y79" s="53"/>
      <c r="Z79" s="53"/>
    </row>
    <row r="80" spans="2:26" ht="15" customHeight="1" x14ac:dyDescent="0.25">
      <c r="B80" s="6"/>
      <c r="C80" s="6" t="s">
        <v>11</v>
      </c>
      <c r="D80" s="7" t="s">
        <v>72</v>
      </c>
      <c r="E80" s="7"/>
      <c r="F80" s="71">
        <f>IF(C80=hops!$B$2,0,find_c(C80,"hops","B2:B1000",2)/100)</f>
        <v>0</v>
      </c>
      <c r="G80" s="16"/>
      <c r="H80" s="77" t="s">
        <v>10</v>
      </c>
      <c r="I80" s="73" t="str">
        <f t="shared" si="3"/>
        <v>-</v>
      </c>
      <c r="K80" s="37"/>
      <c r="L80" s="37"/>
      <c r="M80" s="37"/>
      <c r="O80" s="84">
        <f t="shared" si="2"/>
        <v>70.5</v>
      </c>
      <c r="P80" s="46">
        <v>19.5</v>
      </c>
      <c r="Q80" s="49">
        <v>63.533554914857</v>
      </c>
      <c r="R80" s="18">
        <v>7.2940398925383718</v>
      </c>
      <c r="S80" s="47">
        <v>0.1724051926046013</v>
      </c>
      <c r="T80" s="18">
        <v>94.5</v>
      </c>
      <c r="U80" s="51">
        <v>3.4147777160907644</v>
      </c>
      <c r="Y80" s="53"/>
      <c r="Z80" s="53"/>
    </row>
    <row r="81" spans="2:26" ht="15" customHeight="1" x14ac:dyDescent="0.25">
      <c r="B81" s="6"/>
      <c r="C81" s="6" t="s">
        <v>11</v>
      </c>
      <c r="D81" s="7" t="s">
        <v>72</v>
      </c>
      <c r="E81" s="7"/>
      <c r="F81" s="71">
        <f>IF(C81=hops!$B$2,0,find_c(C81,"hops","B2:B1000",2)/100)</f>
        <v>0</v>
      </c>
      <c r="G81" s="16"/>
      <c r="H81" s="77" t="s">
        <v>10</v>
      </c>
      <c r="I81" s="73" t="str">
        <f t="shared" si="3"/>
        <v>-</v>
      </c>
      <c r="K81" s="37"/>
      <c r="L81" s="37"/>
      <c r="M81" s="37"/>
      <c r="O81" s="84">
        <f t="shared" si="2"/>
        <v>70.25</v>
      </c>
      <c r="P81" s="46">
        <v>19.75</v>
      </c>
      <c r="Q81" s="49">
        <v>63.327687751049986</v>
      </c>
      <c r="R81" s="18">
        <v>7.4895959845113831</v>
      </c>
      <c r="S81" s="47">
        <v>0.18271626443860334</v>
      </c>
      <c r="T81" s="18">
        <v>94.75</v>
      </c>
      <c r="U81" s="51">
        <v>3.5063292561088493</v>
      </c>
      <c r="Y81" s="53"/>
      <c r="Z81" s="53"/>
    </row>
    <row r="82" spans="2:26" ht="15" customHeight="1" x14ac:dyDescent="0.25">
      <c r="B82" s="6"/>
      <c r="C82" s="6" t="s">
        <v>11</v>
      </c>
      <c r="D82" s="7" t="s">
        <v>72</v>
      </c>
      <c r="E82" s="7"/>
      <c r="F82" s="71">
        <f>IF(C82=hops!$B$2,0,find_c(C82,"hops","B2:B1000",2)/100)</f>
        <v>0</v>
      </c>
      <c r="G82" s="16"/>
      <c r="H82" s="77" t="s">
        <v>10</v>
      </c>
      <c r="I82" s="73" t="str">
        <f t="shared" si="3"/>
        <v>-</v>
      </c>
      <c r="K82" s="37"/>
      <c r="L82" s="37"/>
      <c r="M82" s="37"/>
      <c r="O82" s="84">
        <f t="shared" si="2"/>
        <v>70</v>
      </c>
      <c r="P82" s="46">
        <v>20</v>
      </c>
      <c r="Q82" s="49">
        <v>63.117940576289378</v>
      </c>
      <c r="R82" s="18">
        <v>7.6884982851899917</v>
      </c>
      <c r="S82" s="47">
        <v>0.19356113852060117</v>
      </c>
      <c r="T82" s="18">
        <v>95</v>
      </c>
      <c r="U82" s="51">
        <v>3.5994473571945464</v>
      </c>
      <c r="Y82" s="53"/>
      <c r="Z82" s="53"/>
    </row>
    <row r="83" spans="2:26" ht="15" customHeight="1" x14ac:dyDescent="0.25">
      <c r="B83" s="6"/>
      <c r="C83" s="6" t="s">
        <v>11</v>
      </c>
      <c r="D83" s="7" t="s">
        <v>72</v>
      </c>
      <c r="E83" s="7"/>
      <c r="F83" s="71">
        <f>IF(C83=hops!$B$2,0,find_c(C83,"hops","B2:B1000",2)/100)</f>
        <v>0</v>
      </c>
      <c r="G83" s="16"/>
      <c r="H83" s="77" t="s">
        <v>10</v>
      </c>
      <c r="I83" s="73" t="str">
        <f t="shared" si="3"/>
        <v>-</v>
      </c>
      <c r="K83" s="37"/>
      <c r="L83" s="37"/>
      <c r="M83" s="37"/>
      <c r="O83" s="84">
        <f t="shared" si="2"/>
        <v>69.75</v>
      </c>
      <c r="P83" s="46">
        <v>20.25</v>
      </c>
      <c r="Q83" s="49">
        <v>62.904262018097469</v>
      </c>
      <c r="R83" s="18">
        <v>7.8907737173743868</v>
      </c>
      <c r="S83" s="47">
        <v>0.20496426452811781</v>
      </c>
      <c r="T83" s="18">
        <v>95.125</v>
      </c>
      <c r="U83" s="51">
        <v>3.6941446235259927</v>
      </c>
      <c r="Y83" s="53"/>
      <c r="Z83" s="53"/>
    </row>
    <row r="84" spans="2:26" ht="15" customHeight="1" x14ac:dyDescent="0.25">
      <c r="B84" s="6"/>
      <c r="C84" s="6" t="s">
        <v>11</v>
      </c>
      <c r="D84" s="7" t="s">
        <v>72</v>
      </c>
      <c r="E84" s="7"/>
      <c r="F84" s="71">
        <f>IF(C84=hops!$B$2,0,find_c(C84,"hops","B2:B1000",2)/100)</f>
        <v>0</v>
      </c>
      <c r="G84" s="16"/>
      <c r="H84" s="77" t="s">
        <v>10</v>
      </c>
      <c r="I84" s="73" t="str">
        <f t="shared" si="3"/>
        <v>-</v>
      </c>
      <c r="K84" s="37"/>
      <c r="L84" s="37"/>
      <c r="M84" s="37"/>
      <c r="O84" s="84">
        <f t="shared" si="2"/>
        <v>69.5</v>
      </c>
      <c r="P84" s="46">
        <v>20.5</v>
      </c>
      <c r="Q84" s="49">
        <v>62.688965912374243</v>
      </c>
      <c r="R84" s="18">
        <v>8.0942256477847412</v>
      </c>
      <c r="S84" s="47">
        <v>0.21680843984099016</v>
      </c>
      <c r="T84" s="18">
        <v>95.25</v>
      </c>
      <c r="U84" s="51">
        <v>3.7893926792669044</v>
      </c>
      <c r="Y84" s="53"/>
      <c r="Z84" s="53"/>
    </row>
    <row r="85" spans="2:26" ht="15" customHeight="1" x14ac:dyDescent="0.25">
      <c r="B85" s="67"/>
      <c r="C85" s="6" t="s">
        <v>11</v>
      </c>
      <c r="D85" s="7" t="s">
        <v>72</v>
      </c>
      <c r="E85" s="5"/>
      <c r="F85" s="71">
        <f>IF(C85=hops!$B$2,0,find_c(C85,"hops","B2:B1000",2)/100)</f>
        <v>0</v>
      </c>
      <c r="G85" s="56"/>
      <c r="H85" s="77" t="s">
        <v>10</v>
      </c>
      <c r="I85" s="73" t="str">
        <f t="shared" si="3"/>
        <v>-</v>
      </c>
      <c r="K85" s="37"/>
      <c r="L85" s="37"/>
      <c r="M85" s="37"/>
      <c r="O85" s="84">
        <f t="shared" si="2"/>
        <v>69.25</v>
      </c>
      <c r="P85" s="46">
        <v>20.75</v>
      </c>
      <c r="Q85" s="49">
        <v>62.472049723729526</v>
      </c>
      <c r="R85" s="18">
        <v>8.2988459497958207</v>
      </c>
      <c r="S85" s="47">
        <v>0.22910432647462878</v>
      </c>
      <c r="T85" s="18">
        <v>95.375</v>
      </c>
      <c r="U85" s="51">
        <v>3.8851877198564115</v>
      </c>
      <c r="Y85" s="53"/>
      <c r="Z85" s="53"/>
    </row>
    <row r="86" spans="2:26" x14ac:dyDescent="0.25">
      <c r="B86" s="67"/>
      <c r="C86" s="6" t="s">
        <v>11</v>
      </c>
      <c r="D86" s="7" t="s">
        <v>72</v>
      </c>
      <c r="E86" s="5"/>
      <c r="F86" s="71">
        <f>IF(C86=hops!$B$2,0,find_c(C86,"hops","B2:B1000",2)/100)</f>
        <v>0</v>
      </c>
      <c r="G86" s="56"/>
      <c r="H86" s="77" t="s">
        <v>10</v>
      </c>
      <c r="I86" s="73" t="str">
        <f t="shared" si="3"/>
        <v>-</v>
      </c>
      <c r="K86" s="37"/>
      <c r="L86" s="37"/>
      <c r="M86" s="37"/>
      <c r="O86" s="84">
        <f t="shared" si="2"/>
        <v>69</v>
      </c>
      <c r="P86" s="46">
        <v>21</v>
      </c>
      <c r="Q86" s="49">
        <v>62.253511126003438</v>
      </c>
      <c r="R86" s="18">
        <v>8.5046260943408445</v>
      </c>
      <c r="S86" s="47">
        <v>0.24186277965569497</v>
      </c>
      <c r="T86" s="18">
        <v>95.5</v>
      </c>
      <c r="U86" s="51">
        <v>3.9815257523266099</v>
      </c>
      <c r="Y86" s="53"/>
      <c r="Z86" s="53"/>
    </row>
    <row r="87" spans="2:26" x14ac:dyDescent="0.25">
      <c r="B87" s="67"/>
      <c r="C87" s="6" t="s">
        <v>11</v>
      </c>
      <c r="D87" s="7" t="s">
        <v>72</v>
      </c>
      <c r="E87" s="5"/>
      <c r="F87" s="71">
        <f>IF(C87=hops!$B$2,0,find_c(C87,"hops","B2:B1000",2)/100)</f>
        <v>0</v>
      </c>
      <c r="G87" s="56"/>
      <c r="H87" s="77" t="s">
        <v>10</v>
      </c>
      <c r="I87" s="73" t="str">
        <f t="shared" si="3"/>
        <v>-</v>
      </c>
      <c r="K87" s="37"/>
      <c r="L87" s="37"/>
      <c r="M87" s="37"/>
      <c r="O87" s="84">
        <f t="shared" si="2"/>
        <v>68.75</v>
      </c>
      <c r="P87" s="46">
        <v>21.25</v>
      </c>
      <c r="Q87" s="49">
        <v>62.033348006824653</v>
      </c>
      <c r="R87" s="18">
        <v>8.7115571431840237</v>
      </c>
      <c r="S87" s="47">
        <v>0.2550948499913</v>
      </c>
      <c r="T87" s="18">
        <v>95.625</v>
      </c>
      <c r="U87" s="51">
        <v>4.0784025921530329</v>
      </c>
      <c r="Y87" s="53"/>
      <c r="Z87" s="53"/>
    </row>
    <row r="88" spans="2:26" x14ac:dyDescent="0.25">
      <c r="B88" s="67"/>
      <c r="C88" s="6" t="s">
        <v>11</v>
      </c>
      <c r="D88" s="7" t="s">
        <v>72</v>
      </c>
      <c r="E88" s="5"/>
      <c r="F88" s="71">
        <f>IF(C88=hops!$B$2,0,find_c(C88,"hops","B2:B1000",2)/100)</f>
        <v>0</v>
      </c>
      <c r="G88" s="56"/>
      <c r="H88" s="77" t="s">
        <v>10</v>
      </c>
      <c r="I88" s="73" t="str">
        <f t="shared" si="3"/>
        <v>-</v>
      </c>
      <c r="K88" s="37"/>
      <c r="L88" s="37"/>
      <c r="M88" s="37"/>
      <c r="O88" s="84">
        <f t="shared" si="2"/>
        <v>68.5</v>
      </c>
      <c r="P88" s="46">
        <v>21.5</v>
      </c>
      <c r="Q88" s="49">
        <v>61.811558472200801</v>
      </c>
      <c r="R88" s="18">
        <v>8.9196297421768804</v>
      </c>
      <c r="S88" s="47">
        <v>0.26881178562229718</v>
      </c>
      <c r="T88" s="18">
        <v>95.75</v>
      </c>
      <c r="U88" s="51">
        <v>4.1758138600975281</v>
      </c>
      <c r="Y88" s="53"/>
      <c r="Z88" s="53"/>
    </row>
    <row r="89" spans="2:26" x14ac:dyDescent="0.25">
      <c r="B89" s="67"/>
      <c r="C89" s="6" t="s">
        <v>11</v>
      </c>
      <c r="D89" s="7" t="s">
        <v>72</v>
      </c>
      <c r="E89" s="5"/>
      <c r="F89" s="71">
        <f>IF(C89=hops!$B$2,0,find_c(C89,"hops","B2:B1000",2)/100)</f>
        <v>0</v>
      </c>
      <c r="G89" s="56"/>
      <c r="H89" s="77" t="s">
        <v>10</v>
      </c>
      <c r="I89" s="73" t="str">
        <f t="shared" si="3"/>
        <v>-</v>
      </c>
      <c r="K89" s="37"/>
      <c r="L89" s="37"/>
      <c r="M89" s="37"/>
      <c r="O89" s="84">
        <f t="shared" si="2"/>
        <v>68.25</v>
      </c>
      <c r="P89" s="46">
        <v>21.75</v>
      </c>
      <c r="Q89" s="49">
        <v>61.588140851139762</v>
      </c>
      <c r="R89" s="18">
        <v>9.1288341145013412</v>
      </c>
      <c r="S89" s="47">
        <v>0.28302503435887405</v>
      </c>
      <c r="T89" s="18">
        <v>95.875</v>
      </c>
      <c r="U89" s="51">
        <v>4.2737549790449476</v>
      </c>
      <c r="Y89" s="53"/>
      <c r="Z89" s="53"/>
    </row>
    <row r="90" spans="2:26" x14ac:dyDescent="0.25">
      <c r="B90" s="67"/>
      <c r="C90" s="6" t="s">
        <v>11</v>
      </c>
      <c r="D90" s="7" t="s">
        <v>72</v>
      </c>
      <c r="E90" s="5"/>
      <c r="F90" s="71">
        <f>IF(C90=hops!$B$2,0,find_c(C90,"hops","B2:B1000",2)/100)</f>
        <v>0</v>
      </c>
      <c r="G90" s="56"/>
      <c r="H90" s="77" t="s">
        <v>10</v>
      </c>
      <c r="I90" s="73" t="str">
        <f t="shared" si="3"/>
        <v>-</v>
      </c>
      <c r="K90" s="37"/>
      <c r="L90" s="37"/>
      <c r="M90" s="37"/>
      <c r="O90" s="84">
        <f t="shared" si="2"/>
        <v>68</v>
      </c>
      <c r="P90" s="46">
        <v>22</v>
      </c>
      <c r="Q90" s="49">
        <v>61.363093700300645</v>
      </c>
      <c r="R90" s="18">
        <v>9.339160053902738</v>
      </c>
      <c r="S90" s="47">
        <v>0.29774624579659448</v>
      </c>
      <c r="T90" s="18">
        <v>96</v>
      </c>
      <c r="U90" s="51">
        <v>4.3722211708351058</v>
      </c>
      <c r="Y90" s="53"/>
      <c r="Z90" s="53"/>
    </row>
    <row r="91" spans="2:26" x14ac:dyDescent="0.25">
      <c r="B91" s="67"/>
      <c r="C91" s="6" t="s">
        <v>11</v>
      </c>
      <c r="D91" s="7" t="s">
        <v>72</v>
      </c>
      <c r="E91" s="5"/>
      <c r="F91" s="71">
        <f>IF(C91=hops!$B$2,0,find_c(C91,"hops","B2:B1000",2)/100)</f>
        <v>0</v>
      </c>
      <c r="G91" s="56"/>
      <c r="H91" s="77" t="s">
        <v>10</v>
      </c>
      <c r="I91" s="73" t="str">
        <f t="shared" si="3"/>
        <v>-</v>
      </c>
      <c r="K91" s="37"/>
      <c r="L91" s="37"/>
      <c r="M91" s="37"/>
      <c r="O91" s="84">
        <f t="shared" si="2"/>
        <v>67.75</v>
      </c>
      <c r="P91" s="46">
        <v>22.25</v>
      </c>
      <c r="Q91" s="49">
        <v>61.136415808673021</v>
      </c>
      <c r="R91" s="18">
        <v>9.5505969179159713</v>
      </c>
      <c r="S91" s="47">
        <v>0.31298727341098215</v>
      </c>
      <c r="T91" s="18">
        <v>96.125</v>
      </c>
      <c r="U91" s="51">
        <v>4.4712074530915409</v>
      </c>
      <c r="Y91" s="53"/>
      <c r="Z91" s="53"/>
    </row>
    <row r="92" spans="2:26" x14ac:dyDescent="0.25">
      <c r="B92" s="67"/>
      <c r="C92" s="6" t="s">
        <v>11</v>
      </c>
      <c r="D92" s="7" t="s">
        <v>72</v>
      </c>
      <c r="E92" s="5"/>
      <c r="F92" s="71">
        <f>IF(C92=hops!$B$2,0,find_c(C92,"hops","B2:B1000",2)/100)</f>
        <v>0</v>
      </c>
      <c r="G92" s="56"/>
      <c r="H92" s="77" t="s">
        <v>10</v>
      </c>
      <c r="I92" s="73" t="str">
        <f t="shared" si="3"/>
        <v>-</v>
      </c>
      <c r="K92" s="37"/>
      <c r="L92" s="37"/>
      <c r="M92" s="37"/>
      <c r="O92" s="84">
        <f t="shared" si="2"/>
        <v>67.5</v>
      </c>
      <c r="P92" s="46">
        <v>22.5</v>
      </c>
      <c r="Q92" s="49">
        <v>60.908106202283101</v>
      </c>
      <c r="R92" s="18">
        <v>9.7631336210881976</v>
      </c>
      <c r="S92" s="47">
        <v>0.32876017662867468</v>
      </c>
      <c r="T92" s="18">
        <v>96.25</v>
      </c>
      <c r="U92" s="51">
        <v>4.5707086360486509</v>
      </c>
      <c r="Y92" s="53"/>
      <c r="Z92" s="53"/>
    </row>
    <row r="93" spans="2:26" x14ac:dyDescent="0.25">
      <c r="B93" s="67"/>
      <c r="C93" s="6" t="s">
        <v>11</v>
      </c>
      <c r="D93" s="7" t="s">
        <v>72</v>
      </c>
      <c r="E93" s="5"/>
      <c r="F93" s="71">
        <f>IF(C93=hops!$B$2,0,find_c(C93,"hops","B2:B1000",2)/100)</f>
        <v>0</v>
      </c>
      <c r="G93" s="56"/>
      <c r="H93" s="77" t="s">
        <v>10</v>
      </c>
      <c r="I93" s="73" t="str">
        <f t="shared" si="3"/>
        <v>-</v>
      </c>
      <c r="K93" s="37"/>
      <c r="L93" s="37"/>
      <c r="M93" s="37"/>
      <c r="O93" s="84">
        <f t="shared" si="2"/>
        <v>67.25</v>
      </c>
      <c r="P93" s="46">
        <v>22.75</v>
      </c>
      <c r="Q93" s="49">
        <v>60.678164148925319</v>
      </c>
      <c r="R93" s="18">
        <v>9.9767586282015301</v>
      </c>
      <c r="S93" s="47">
        <v>0.34507722287312004</v>
      </c>
      <c r="T93" s="18">
        <v>96.375</v>
      </c>
      <c r="U93" s="51">
        <v>4.6707193193788283</v>
      </c>
      <c r="Y93" s="53"/>
      <c r="Z93" s="53"/>
    </row>
    <row r="94" spans="2:26" x14ac:dyDescent="0.25">
      <c r="B94" s="67"/>
      <c r="C94" s="6" t="s">
        <v>11</v>
      </c>
      <c r="D94" s="7" t="s">
        <v>72</v>
      </c>
      <c r="E94" s="5"/>
      <c r="F94" s="71">
        <f>IF(C94=hops!$B$2,0,find_c(C94,"hops","B2:B1000",2)/100)</f>
        <v>0</v>
      </c>
      <c r="G94" s="56"/>
      <c r="H94" s="77" t="s">
        <v>10</v>
      </c>
      <c r="I94" s="73" t="str">
        <f t="shared" si="3"/>
        <v>-</v>
      </c>
      <c r="K94" s="37"/>
      <c r="L94" s="37"/>
      <c r="M94" s="37"/>
      <c r="O94" s="84">
        <f t="shared" si="2"/>
        <v>67</v>
      </c>
      <c r="P94" s="46">
        <v>23</v>
      </c>
      <c r="Q94" s="49">
        <v>60.446589162917874</v>
      </c>
      <c r="R94" s="18">
        <v>10.191459947499371</v>
      </c>
      <c r="S94" s="47">
        <v>0.3619508895827212</v>
      </c>
      <c r="T94" s="18">
        <v>96.5</v>
      </c>
      <c r="U94" s="51">
        <v>4.771233889021306</v>
      </c>
      <c r="Y94" s="53"/>
      <c r="Z94" s="53"/>
    </row>
    <row r="95" spans="2:26" x14ac:dyDescent="0.25">
      <c r="B95" s="67"/>
      <c r="C95" s="6" t="s">
        <v>11</v>
      </c>
      <c r="D95" s="7" t="s">
        <v>72</v>
      </c>
      <c r="E95" s="5"/>
      <c r="F95" s="71">
        <f>IF(C95=hops!$B$2,0,find_c(C95,"hops","B2:B1000",2)/100)</f>
        <v>0</v>
      </c>
      <c r="G95" s="56"/>
      <c r="H95" s="77" t="s">
        <v>10</v>
      </c>
      <c r="I95" s="73" t="str">
        <f t="shared" si="3"/>
        <v>-</v>
      </c>
      <c r="K95" s="37"/>
      <c r="L95" s="37"/>
      <c r="M95" s="37"/>
      <c r="O95" s="84">
        <f t="shared" si="2"/>
        <v>66.75</v>
      </c>
      <c r="P95" s="46">
        <v>23.25</v>
      </c>
      <c r="Q95" s="49">
        <v>60.213381009880599</v>
      </c>
      <c r="R95" s="18">
        <v>10.407225123920091</v>
      </c>
      <c r="S95" s="47">
        <v>0.37939386619927534</v>
      </c>
      <c r="T95" s="18">
        <v>96.625</v>
      </c>
      <c r="U95" s="51">
        <v>4.8722465140144298</v>
      </c>
      <c r="Y95" s="53"/>
      <c r="Z95" s="53"/>
    </row>
    <row r="96" spans="2:26" x14ac:dyDescent="0.25">
      <c r="B96" s="67"/>
      <c r="C96" s="6" t="s">
        <v>11</v>
      </c>
      <c r="D96" s="7" t="s">
        <v>72</v>
      </c>
      <c r="E96" s="5"/>
      <c r="F96" s="71">
        <f>IF(C96=hops!$B$2,0,find_c(C96,"hops","B2:B1000",2)/100)</f>
        <v>0</v>
      </c>
      <c r="G96" s="56"/>
      <c r="H96" s="77" t="s">
        <v>10</v>
      </c>
      <c r="I96" s="73" t="str">
        <f t="shared" si="3"/>
        <v>-</v>
      </c>
      <c r="K96" s="37"/>
      <c r="L96" s="37"/>
      <c r="M96" s="37"/>
      <c r="O96" s="84">
        <f t="shared" si="2"/>
        <v>66.5</v>
      </c>
      <c r="P96" s="46">
        <v>23.5</v>
      </c>
      <c r="Q96" s="49">
        <v>59.978539711533536</v>
      </c>
      <c r="R96" s="18">
        <v>10.62404123234194</v>
      </c>
      <c r="S96" s="47">
        <v>0.39741905612448941</v>
      </c>
      <c r="T96" s="18">
        <v>96.75</v>
      </c>
      <c r="U96" s="51">
        <v>4.9737511433332031</v>
      </c>
      <c r="Y96" s="53"/>
      <c r="Z96" s="53"/>
    </row>
    <row r="97" spans="2:26" x14ac:dyDescent="0.25">
      <c r="B97" s="67"/>
      <c r="C97" s="6" t="s">
        <v>11</v>
      </c>
      <c r="D97" s="7" t="s">
        <v>72</v>
      </c>
      <c r="E97" s="5"/>
      <c r="F97" s="71">
        <f>IF(C97=hops!$B$2,0,find_c(C97,"hops","B2:B1000",2)/100)</f>
        <v>0</v>
      </c>
      <c r="G97" s="56"/>
      <c r="H97" s="77" t="s">
        <v>10</v>
      </c>
      <c r="I97" s="73" t="str">
        <f t="shared" si="3"/>
        <v>-</v>
      </c>
      <c r="K97" s="37"/>
      <c r="L97" s="37"/>
      <c r="M97" s="37"/>
      <c r="O97" s="84">
        <f t="shared" si="2"/>
        <v>66.25</v>
      </c>
      <c r="P97" s="46">
        <v>23.75</v>
      </c>
      <c r="Q97" s="49">
        <v>59.742065550514504</v>
      </c>
      <c r="R97" s="18">
        <v>10.841894870843173</v>
      </c>
      <c r="S97" s="47">
        <v>0.41603957864228802</v>
      </c>
      <c r="T97" s="18">
        <v>96.875</v>
      </c>
      <c r="U97" s="51">
        <v>5.0757415027339396</v>
      </c>
      <c r="Y97" s="53"/>
      <c r="Z97" s="53"/>
    </row>
    <row r="98" spans="2:26" x14ac:dyDescent="0.25">
      <c r="B98" s="67"/>
      <c r="C98" s="6" t="s">
        <v>11</v>
      </c>
      <c r="D98" s="7" t="s">
        <v>72</v>
      </c>
      <c r="E98" s="5"/>
      <c r="F98" s="71">
        <f>IF(C98=hops!$B$2,0,find_c(C98,"hops","B2:B1000",2)/100)</f>
        <v>0</v>
      </c>
      <c r="G98" s="56"/>
      <c r="H98" s="77" t="s">
        <v>10</v>
      </c>
      <c r="I98" s="73" t="str">
        <f t="shared" si="3"/>
        <v>-</v>
      </c>
      <c r="K98" s="37"/>
      <c r="L98" s="37"/>
      <c r="M98" s="37"/>
      <c r="O98" s="84">
        <f t="shared" si="2"/>
        <v>66</v>
      </c>
      <c r="P98" s="46">
        <v>24</v>
      </c>
      <c r="Q98" s="49">
        <v>59.503959075213892</v>
      </c>
      <c r="R98" s="18">
        <v>11.060772153981501</v>
      </c>
      <c r="S98" s="47">
        <v>0.4352687708045675</v>
      </c>
      <c r="T98" s="18">
        <v>97</v>
      </c>
      <c r="U98" s="51">
        <v>5.17821109160798</v>
      </c>
      <c r="Y98" s="53"/>
      <c r="Z98" s="53"/>
    </row>
    <row r="99" spans="2:26" x14ac:dyDescent="0.25">
      <c r="B99" s="67"/>
      <c r="C99" s="6" t="s">
        <v>11</v>
      </c>
      <c r="D99" s="7" t="s">
        <v>72</v>
      </c>
      <c r="E99" s="5"/>
      <c r="F99" s="71">
        <f>IF(C99=hops!$B$2,0,find_c(C99,"hops","B2:B1000",2)/100)</f>
        <v>0</v>
      </c>
      <c r="G99" s="56"/>
      <c r="H99" s="77" t="s">
        <v>10</v>
      </c>
      <c r="I99" s="73" t="str">
        <f t="shared" si="3"/>
        <v>-</v>
      </c>
      <c r="K99" s="37"/>
      <c r="L99" s="37"/>
      <c r="M99" s="37"/>
      <c r="O99" s="84">
        <f t="shared" si="2"/>
        <v>65.75</v>
      </c>
      <c r="P99" s="46">
        <v>24.25</v>
      </c>
      <c r="Q99" s="49">
        <v>59.264221104624838</v>
      </c>
      <c r="R99" s="18">
        <v>11.280658706097142</v>
      </c>
      <c r="S99" s="47">
        <v>0.45512018927798087</v>
      </c>
      <c r="T99" s="18">
        <v>97.125</v>
      </c>
      <c r="U99" s="51">
        <v>5.281153179846438</v>
      </c>
      <c r="Y99" s="53"/>
      <c r="Z99" s="53"/>
    </row>
    <row r="100" spans="2:26" x14ac:dyDescent="0.25">
      <c r="B100" s="67"/>
      <c r="C100" s="6" t="s">
        <v>11</v>
      </c>
      <c r="D100" s="7" t="s">
        <v>72</v>
      </c>
      <c r="E100" s="5"/>
      <c r="F100" s="71">
        <f>IF(C100=hops!$B$2,0,find_c(C100,"hops","B2:B1000",2)/100)</f>
        <v>0</v>
      </c>
      <c r="G100" s="56"/>
      <c r="H100" s="77" t="s">
        <v>10</v>
      </c>
      <c r="I100" s="73" t="str">
        <f t="shared" si="3"/>
        <v>-</v>
      </c>
      <c r="K100" s="37"/>
      <c r="L100" s="37"/>
      <c r="M100" s="37"/>
      <c r="O100" s="84">
        <f t="shared" si="2"/>
        <v>65.5</v>
      </c>
      <c r="P100" s="46">
        <v>24.5</v>
      </c>
      <c r="Q100" s="49">
        <v>59.022852733206854</v>
      </c>
      <c r="R100" s="18">
        <v>11.501539654643834</v>
      </c>
      <c r="S100" s="47">
        <v>0.47560761214927327</v>
      </c>
      <c r="T100" s="18">
        <v>97.25</v>
      </c>
      <c r="U100" s="51">
        <v>5.3845608047180571</v>
      </c>
      <c r="Y100" s="53"/>
      <c r="Z100" s="53"/>
    </row>
    <row r="101" spans="2:26" x14ac:dyDescent="0.25">
      <c r="B101" s="67"/>
      <c r="C101" s="6" t="s">
        <v>11</v>
      </c>
      <c r="D101" s="7" t="s">
        <v>72</v>
      </c>
      <c r="E101" s="5"/>
      <c r="F101" s="71">
        <f>IF(C101=hops!$B$2,0,find_c(C101,"hops","B2:B1000",2)/100)</f>
        <v>0</v>
      </c>
      <c r="G101" s="56"/>
      <c r="H101" s="77" t="s">
        <v>10</v>
      </c>
      <c r="I101" s="73" t="str">
        <f t="shared" si="3"/>
        <v>-</v>
      </c>
      <c r="K101" s="37"/>
      <c r="L101" s="37"/>
      <c r="M101" s="37"/>
      <c r="O101" s="84">
        <f t="shared" si="2"/>
        <v>65.25</v>
      </c>
      <c r="P101" s="46">
        <v>24.75</v>
      </c>
      <c r="Q101" s="49">
        <v>58.779855335760992</v>
      </c>
      <c r="R101" s="18">
        <v>11.72339962355235</v>
      </c>
      <c r="S101" s="47">
        <v>0.49674504068662056</v>
      </c>
      <c r="T101" s="18">
        <v>97.375</v>
      </c>
      <c r="U101" s="51">
        <v>5.4884267677622685</v>
      </c>
      <c r="Y101" s="53"/>
      <c r="Z101" s="53"/>
    </row>
    <row r="102" spans="2:26" x14ac:dyDescent="0.25">
      <c r="B102" s="67"/>
      <c r="C102" s="6" t="s">
        <v>11</v>
      </c>
      <c r="D102" s="7" t="s">
        <v>72</v>
      </c>
      <c r="E102" s="5"/>
      <c r="F102" s="71">
        <f>IF(C102=hops!$B$2,0,find_c(C102,"hops","B2:B1000",2)/100)</f>
        <v>0</v>
      </c>
      <c r="G102" s="56"/>
      <c r="H102" s="77" t="s">
        <v>10</v>
      </c>
      <c r="I102" s="73" t="str">
        <f t="shared" si="3"/>
        <v>-</v>
      </c>
      <c r="K102" s="37"/>
      <c r="L102" s="37"/>
      <c r="M102" s="37"/>
      <c r="O102" s="84">
        <f t="shared" si="2"/>
        <v>65</v>
      </c>
      <c r="P102" s="46">
        <v>25</v>
      </c>
      <c r="Q102" s="49">
        <v>58.535230572314426</v>
      </c>
      <c r="R102" s="18">
        <v>11.946222726631181</v>
      </c>
      <c r="S102" s="47">
        <v>0.51854670105435452</v>
      </c>
      <c r="T102" s="18">
        <v>97.5</v>
      </c>
      <c r="U102" s="51">
        <v>5.5927436316996531</v>
      </c>
      <c r="Y102" s="53"/>
      <c r="Z102" s="53"/>
    </row>
    <row r="103" spans="2:26" x14ac:dyDescent="0.25">
      <c r="B103" s="67"/>
      <c r="C103" s="6" t="s">
        <v>11</v>
      </c>
      <c r="D103" s="7" t="s">
        <v>72</v>
      </c>
      <c r="E103" s="5"/>
      <c r="F103" s="71">
        <f>IF(C103=hops!$B$2,0,find_c(C103,"hops","B2:B1000",2)/100)</f>
        <v>0</v>
      </c>
      <c r="G103" s="56"/>
      <c r="H103" s="77" t="s">
        <v>10</v>
      </c>
      <c r="I103" s="73" t="str">
        <f t="shared" si="3"/>
        <v>-</v>
      </c>
      <c r="K103" s="37"/>
      <c r="L103" s="37"/>
      <c r="M103" s="37"/>
      <c r="O103" s="84">
        <f t="shared" si="2"/>
        <v>64.75</v>
      </c>
      <c r="P103" s="46">
        <v>25.25</v>
      </c>
      <c r="Q103" s="49">
        <v>58.288980393012423</v>
      </c>
      <c r="R103" s="18">
        <v>12.169992561009151</v>
      </c>
      <c r="S103" s="47">
        <v>0.54102704597838924</v>
      </c>
      <c r="T103" s="18">
        <v>97.625</v>
      </c>
      <c r="U103" s="51">
        <v>5.6975037173620446</v>
      </c>
      <c r="Y103" s="53"/>
      <c r="Z103" s="53"/>
    </row>
    <row r="104" spans="2:26" x14ac:dyDescent="0.25">
      <c r="B104" s="67"/>
      <c r="C104" s="6" t="s">
        <v>11</v>
      </c>
      <c r="D104" s="7" t="s">
        <v>72</v>
      </c>
      <c r="E104" s="5"/>
      <c r="F104" s="71">
        <f>IF(C104=hops!$B$2,0,find_c(C104,"hops","B2:B1000",2)/100)</f>
        <v>0</v>
      </c>
      <c r="G104" s="56"/>
      <c r="H104" s="77" t="s">
        <v>10</v>
      </c>
      <c r="I104" s="73" t="str">
        <f t="shared" si="3"/>
        <v>-</v>
      </c>
      <c r="K104" s="37"/>
      <c r="L104" s="37"/>
      <c r="M104" s="37"/>
      <c r="O104" s="84">
        <f t="shared" si="2"/>
        <v>64.5</v>
      </c>
      <c r="P104" s="46">
        <v>25.5</v>
      </c>
      <c r="Q104" s="49">
        <v>58.041107043015415</v>
      </c>
      <c r="R104" s="18">
        <v>12.394692200624949</v>
      </c>
      <c r="S104" s="47">
        <v>0.56420075635959599</v>
      </c>
      <c r="T104" s="18">
        <v>97.75</v>
      </c>
      <c r="U104" s="51">
        <v>5.8026991006445758</v>
      </c>
      <c r="Y104" s="53"/>
      <c r="Z104" s="53"/>
    </row>
    <row r="105" spans="2:26" x14ac:dyDescent="0.25">
      <c r="B105" s="67"/>
      <c r="C105" s="6" t="s">
        <v>11</v>
      </c>
      <c r="D105" s="7" t="s">
        <v>72</v>
      </c>
      <c r="E105" s="5"/>
      <c r="F105" s="71">
        <f>IF(C105=hops!$B$2,0,find_c(C105,"hops","B2:B1000",2)/100)</f>
        <v>0</v>
      </c>
      <c r="G105" s="56"/>
      <c r="H105" s="77" t="s">
        <v>10</v>
      </c>
      <c r="I105" s="73" t="str">
        <f t="shared" si="3"/>
        <v>-</v>
      </c>
      <c r="K105" s="37"/>
      <c r="L105" s="37"/>
      <c r="M105" s="37"/>
      <c r="O105" s="84">
        <f t="shared" si="2"/>
        <v>64.25</v>
      </c>
      <c r="P105" s="46">
        <v>25.75</v>
      </c>
      <c r="Q105" s="49">
        <v>57.791613067399034</v>
      </c>
      <c r="R105" s="18">
        <v>12.620304189768621</v>
      </c>
      <c r="S105" s="47">
        <v>0.58808274283230089</v>
      </c>
      <c r="T105" s="18">
        <v>97.875</v>
      </c>
      <c r="U105" s="51">
        <v>5.9083216094820772</v>
      </c>
      <c r="Y105" s="53"/>
      <c r="Z105" s="53"/>
    </row>
    <row r="106" spans="2:26" x14ac:dyDescent="0.25">
      <c r="B106" s="67"/>
      <c r="C106" s="6" t="s">
        <v>11</v>
      </c>
      <c r="D106" s="7" t="s">
        <v>72</v>
      </c>
      <c r="E106" s="5"/>
      <c r="F106" s="71">
        <f>IF(C106=hops!$B$2,0,find_c(C106,"hops","B2:B1000",2)/100)</f>
        <v>0</v>
      </c>
      <c r="G106" s="56"/>
      <c r="H106" s="77" t="s">
        <v>10</v>
      </c>
      <c r="I106" s="73" t="str">
        <f t="shared" si="3"/>
        <v>-</v>
      </c>
      <c r="K106" s="37"/>
      <c r="L106" s="37"/>
      <c r="M106" s="37"/>
      <c r="O106" s="84">
        <f t="shared" si="2"/>
        <v>64</v>
      </c>
      <c r="P106" s="46">
        <v>26</v>
      </c>
      <c r="Q106" s="49">
        <v>57.540501316054673</v>
      </c>
      <c r="R106" s="18">
        <v>12.846810536680271</v>
      </c>
      <c r="S106" s="47">
        <v>0.61268814726501208</v>
      </c>
      <c r="T106" s="18">
        <v>98</v>
      </c>
      <c r="U106" s="51">
        <v>6.0143628208522362</v>
      </c>
      <c r="Y106" s="53"/>
      <c r="Z106" s="53"/>
    </row>
    <row r="107" spans="2:26" x14ac:dyDescent="0.25">
      <c r="B107" s="67"/>
      <c r="C107" s="6" t="s">
        <v>11</v>
      </c>
      <c r="D107" s="7" t="s">
        <v>72</v>
      </c>
      <c r="E107" s="5"/>
      <c r="F107" s="71">
        <f>IF(C107=hops!$B$2,0,find_c(C107,"hops","B2:B1000",2)/100)</f>
        <v>0</v>
      </c>
      <c r="G107" s="56"/>
      <c r="H107" s="77" t="s">
        <v>10</v>
      </c>
      <c r="I107" s="73" t="str">
        <f t="shared" si="3"/>
        <v>-</v>
      </c>
      <c r="K107" s="37"/>
      <c r="L107" s="37"/>
      <c r="M107" s="37"/>
      <c r="O107" s="84">
        <f t="shared" si="2"/>
        <v>63.75</v>
      </c>
      <c r="P107" s="46">
        <v>26.25</v>
      </c>
      <c r="Q107" s="49">
        <v>57.287774948588243</v>
      </c>
      <c r="R107" s="18">
        <v>13.074192707211305</v>
      </c>
      <c r="S107" s="47">
        <v>0.63803234420041088</v>
      </c>
      <c r="T107" s="18">
        <v>98.125</v>
      </c>
      <c r="U107" s="51">
        <v>6.1208140578080439</v>
      </c>
      <c r="Y107" s="53"/>
      <c r="Z107" s="53"/>
    </row>
    <row r="108" spans="2:26" x14ac:dyDescent="0.25">
      <c r="B108" s="67"/>
      <c r="C108" s="6" t="s">
        <v>11</v>
      </c>
      <c r="D108" s="7" t="s">
        <v>72</v>
      </c>
      <c r="E108" s="5"/>
      <c r="F108" s="71">
        <f>IF(C108=hops!$B$2,0,find_c(C108,"hops","B2:B1000",2)/100)</f>
        <v>0</v>
      </c>
      <c r="G108" s="56"/>
      <c r="H108" s="77" t="s">
        <v>10</v>
      </c>
      <c r="I108" s="73" t="str">
        <f t="shared" si="3"/>
        <v>-</v>
      </c>
      <c r="K108" s="37"/>
      <c r="L108" s="37"/>
      <c r="M108" s="37"/>
      <c r="O108" s="84">
        <f t="shared" si="2"/>
        <v>63.5</v>
      </c>
      <c r="P108" s="46">
        <v>26.5</v>
      </c>
      <c r="Q108" s="49">
        <v>57.033437439214616</v>
      </c>
      <c r="R108" s="18">
        <v>13.302431618553774</v>
      </c>
      <c r="S108" s="47">
        <v>0.66413094223157065</v>
      </c>
      <c r="T108" s="18">
        <v>98.25</v>
      </c>
      <c r="U108" s="51">
        <v>6.2276663865421344</v>
      </c>
      <c r="Y108" s="53"/>
      <c r="Z108" s="53"/>
    </row>
    <row r="109" spans="2:26" x14ac:dyDescent="0.25">
      <c r="B109" s="67"/>
      <c r="C109" s="6" t="s">
        <v>11</v>
      </c>
      <c r="D109" s="7" t="s">
        <v>72</v>
      </c>
      <c r="E109" s="5"/>
      <c r="F109" s="71">
        <f>IF(C109=hops!$B$2,0,find_c(C109,"hops","B2:B1000",2)/100)</f>
        <v>0</v>
      </c>
      <c r="G109" s="56"/>
      <c r="H109" s="77" t="s">
        <v>10</v>
      </c>
      <c r="I109" s="73" t="str">
        <f t="shared" si="3"/>
        <v>-</v>
      </c>
      <c r="K109" s="37"/>
      <c r="L109" s="37"/>
      <c r="M109" s="37"/>
      <c r="O109" s="84">
        <f t="shared" si="2"/>
        <v>63.25</v>
      </c>
      <c r="P109" s="46">
        <v>26.75</v>
      </c>
      <c r="Q109" s="49">
        <v>56.777492581645227</v>
      </c>
      <c r="R109" s="18">
        <v>13.531507633043443</v>
      </c>
      <c r="S109" s="47">
        <v>0.69099978531129413</v>
      </c>
      <c r="T109" s="18">
        <v>98.375</v>
      </c>
      <c r="U109" s="51">
        <v>6.3349106134856177</v>
      </c>
      <c r="Y109" s="53"/>
      <c r="Z109" s="53"/>
    </row>
    <row r="110" spans="2:26" x14ac:dyDescent="0.25">
      <c r="B110" s="67"/>
      <c r="C110" s="6" t="s">
        <v>11</v>
      </c>
      <c r="D110" s="7" t="s">
        <v>72</v>
      </c>
      <c r="E110" s="5"/>
      <c r="F110" s="71">
        <f>IF(C110=hops!$B$2,0,find_c(C110,"hops","B2:B1000",2)/100)</f>
        <v>0</v>
      </c>
      <c r="G110" s="56"/>
      <c r="H110" s="77" t="s">
        <v>10</v>
      </c>
      <c r="I110" s="73" t="str">
        <f t="shared" si="3"/>
        <v>-</v>
      </c>
      <c r="K110" s="37"/>
      <c r="L110" s="37"/>
      <c r="M110" s="37"/>
      <c r="O110" s="84">
        <f t="shared" si="2"/>
        <v>63</v>
      </c>
      <c r="P110" s="46">
        <v>27</v>
      </c>
      <c r="Q110" s="49">
        <v>56.519944493966179</v>
      </c>
      <c r="R110" s="18">
        <v>13.761400552042392</v>
      </c>
      <c r="S110" s="47">
        <v>0.7186549539913919</v>
      </c>
      <c r="T110" s="18">
        <v>98.5</v>
      </c>
      <c r="U110" s="51">
        <v>6.4425372824441665</v>
      </c>
      <c r="Y110" s="53"/>
      <c r="Z110" s="53"/>
    </row>
    <row r="111" spans="2:26" x14ac:dyDescent="0.25">
      <c r="B111" s="67"/>
      <c r="C111" s="6" t="s">
        <v>11</v>
      </c>
      <c r="D111" s="7" t="s">
        <v>72</v>
      </c>
      <c r="E111" s="5"/>
      <c r="F111" s="71">
        <f>IF(C111=hops!$B$2,0,find_c(C111,"hops","B2:B1000",2)/100)</f>
        <v>0</v>
      </c>
      <c r="G111" s="56"/>
      <c r="H111" s="77" t="s">
        <v>10</v>
      </c>
      <c r="I111" s="73" t="str">
        <f t="shared" si="3"/>
        <v>-</v>
      </c>
      <c r="K111" s="37"/>
      <c r="L111" s="37"/>
      <c r="M111" s="37"/>
      <c r="O111" s="84">
        <f t="shared" si="2"/>
        <v>62.75</v>
      </c>
      <c r="P111" s="46">
        <v>27.25</v>
      </c>
      <c r="Q111" s="49">
        <v>56.260797623504189</v>
      </c>
      <c r="R111" s="18">
        <v>13.992089609907126</v>
      </c>
      <c r="S111" s="47">
        <v>0.74711276658864667</v>
      </c>
      <c r="T111" s="18">
        <v>98.625</v>
      </c>
      <c r="U111" s="51">
        <v>6.55053667177412</v>
      </c>
      <c r="Y111" s="53"/>
      <c r="Z111" s="53"/>
    </row>
    <row r="112" spans="2:26" x14ac:dyDescent="0.25">
      <c r="B112" s="67"/>
      <c r="C112" s="6" t="s">
        <v>11</v>
      </c>
      <c r="D112" s="7" t="s">
        <v>72</v>
      </c>
      <c r="E112" s="5"/>
      <c r="F112" s="71">
        <f>IF(C112=hops!$B$2,0,find_c(C112,"hops","B2:B1000",2)/100)</f>
        <v>0</v>
      </c>
      <c r="G112" s="56"/>
      <c r="H112" s="77" t="s">
        <v>10</v>
      </c>
      <c r="I112" s="73" t="str">
        <f t="shared" si="3"/>
        <v>-</v>
      </c>
      <c r="K112" s="37"/>
      <c r="L112" s="37"/>
      <c r="M112" s="37"/>
      <c r="O112" s="84">
        <f t="shared" si="2"/>
        <v>62.5</v>
      </c>
      <c r="P112" s="46">
        <v>27.5</v>
      </c>
      <c r="Q112" s="49">
        <v>56.000056751677555</v>
      </c>
      <c r="R112" s="18">
        <v>14.223553468048264</v>
      </c>
      <c r="S112" s="47">
        <v>0.77638978027414163</v>
      </c>
      <c r="T112" s="18">
        <v>98.75</v>
      </c>
      <c r="U112" s="51">
        <v>6.6588987916014757</v>
      </c>
      <c r="Y112" s="53"/>
      <c r="Z112" s="53"/>
    </row>
    <row r="113" spans="2:26" x14ac:dyDescent="0.25">
      <c r="B113" s="67"/>
      <c r="C113" s="6" t="s">
        <v>11</v>
      </c>
      <c r="D113" s="7" t="s">
        <v>72</v>
      </c>
      <c r="E113" s="5"/>
      <c r="F113" s="71">
        <f>IF(C113=hops!$B$2,0,find_c(C113,"hops","B2:B1000",2)/100)</f>
        <v>0</v>
      </c>
      <c r="G113" s="56"/>
      <c r="H113" s="77" t="s">
        <v>10</v>
      </c>
      <c r="I113" s="73" t="str">
        <f t="shared" si="3"/>
        <v>-</v>
      </c>
      <c r="K113" s="37"/>
      <c r="L113" s="37"/>
      <c r="M113" s="37"/>
      <c r="O113" s="84">
        <f t="shared" si="2"/>
        <v>62.25</v>
      </c>
      <c r="P113" s="46">
        <v>27.75</v>
      </c>
      <c r="Q113" s="49">
        <v>55.737726998829309</v>
      </c>
      <c r="R113" s="18">
        <v>14.455770209088094</v>
      </c>
      <c r="S113" s="47">
        <v>0.80650279208255549</v>
      </c>
      <c r="T113" s="18">
        <v>98.875</v>
      </c>
      <c r="U113" s="51">
        <v>6.7676133810866821</v>
      </c>
      <c r="Y113" s="53"/>
      <c r="Z113" s="53"/>
    </row>
    <row r="114" spans="2:26" x14ac:dyDescent="0.25">
      <c r="B114" s="67"/>
      <c r="C114" s="6" t="s">
        <v>11</v>
      </c>
      <c r="D114" s="7" t="s">
        <v>72</v>
      </c>
      <c r="E114" s="5"/>
      <c r="F114" s="71">
        <f>IF(C114=hops!$B$2,0,find_c(C114,"hops","B2:B1000",2)/100)</f>
        <v>0</v>
      </c>
      <c r="G114" s="56"/>
      <c r="H114" s="77" t="s">
        <v>10</v>
      </c>
      <c r="I114" s="73" t="str">
        <f t="shared" si="3"/>
        <v>-</v>
      </c>
      <c r="K114" s="37"/>
      <c r="L114" s="37"/>
      <c r="M114" s="37"/>
      <c r="O114" s="84">
        <f t="shared" si="2"/>
        <v>62</v>
      </c>
      <c r="P114" s="46">
        <v>28</v>
      </c>
      <c r="Q114" s="49">
        <v>55.473813829039642</v>
      </c>
      <c r="R114" s="18">
        <v>14.688717331122366</v>
      </c>
      <c r="S114" s="47">
        <v>0.83746883983795473</v>
      </c>
      <c r="T114" s="18">
        <v>99</v>
      </c>
      <c r="U114" s="51">
        <v>6.8766699057382468</v>
      </c>
      <c r="Y114" s="53"/>
      <c r="Z114" s="53"/>
    </row>
    <row r="115" spans="2:26" x14ac:dyDescent="0.25">
      <c r="B115" s="67"/>
      <c r="C115" s="6" t="s">
        <v>11</v>
      </c>
      <c r="D115" s="7" t="s">
        <v>72</v>
      </c>
      <c r="E115" s="5"/>
      <c r="F115" s="71">
        <f>IF(C115=hops!$B$2,0,find_c(C115,"hops","B2:B1000",2)/100)</f>
        <v>0</v>
      </c>
      <c r="G115" s="56"/>
      <c r="H115" s="77" t="s">
        <v>10</v>
      </c>
      <c r="I115" s="73" t="str">
        <f t="shared" si="3"/>
        <v>-</v>
      </c>
      <c r="O115" s="84">
        <f t="shared" si="2"/>
        <v>61.75</v>
      </c>
      <c r="P115" s="46">
        <v>28.25</v>
      </c>
      <c r="Q115" s="49">
        <v>55.20832305491453</v>
      </c>
      <c r="R115" s="18">
        <v>14.92237174209289</v>
      </c>
      <c r="S115" s="47">
        <v>0.86930520299254221</v>
      </c>
      <c r="T115" s="18">
        <v>99.125</v>
      </c>
      <c r="U115" s="51">
        <v>6.9860575547782071</v>
      </c>
      <c r="Y115" s="53"/>
      <c r="Z115" s="53"/>
    </row>
    <row r="116" spans="2:26" x14ac:dyDescent="0.25">
      <c r="B116" s="67"/>
      <c r="C116" s="6" t="s">
        <v>11</v>
      </c>
      <c r="D116" s="7" t="s">
        <v>72</v>
      </c>
      <c r="E116" s="5"/>
      <c r="F116" s="71">
        <f>IF(C116=hops!$B$2,0,find_c(C116,"hops","B2:B1000",2)/100)</f>
        <v>0</v>
      </c>
      <c r="G116" s="56"/>
      <c r="H116" s="77" t="s">
        <v>10</v>
      </c>
      <c r="I116" s="73" t="str">
        <f t="shared" si="3"/>
        <v>-</v>
      </c>
      <c r="O116" s="84">
        <f t="shared" si="2"/>
        <v>61.5</v>
      </c>
      <c r="P116" s="46">
        <v>28.5</v>
      </c>
      <c r="Q116" s="49">
        <v>54.941260842347567</v>
      </c>
      <c r="R116" s="18">
        <v>15.156709754277644</v>
      </c>
      <c r="S116" s="47">
        <v>0.90202940337474846</v>
      </c>
      <c r="T116" s="18">
        <v>99.25</v>
      </c>
      <c r="U116" s="51">
        <v>7.0957652385626222</v>
      </c>
      <c r="Y116" s="53"/>
      <c r="Z116" s="53"/>
    </row>
    <row r="117" spans="2:26" x14ac:dyDescent="0.25">
      <c r="B117" s="67"/>
      <c r="C117" s="6" t="s">
        <v>11</v>
      </c>
      <c r="D117" s="7" t="s">
        <v>72</v>
      </c>
      <c r="E117" s="5"/>
      <c r="F117" s="71">
        <f>IF(C117=hops!$B$2,0,find_c(C117,"hops","B2:B1000",2)/100)</f>
        <v>0</v>
      </c>
      <c r="G117" s="56"/>
      <c r="H117" s="77" t="s">
        <v>10</v>
      </c>
      <c r="I117" s="73" t="str">
        <f t="shared" si="3"/>
        <v>-</v>
      </c>
      <c r="O117" s="84">
        <f t="shared" si="2"/>
        <v>61.25</v>
      </c>
      <c r="P117" s="46">
        <v>28.75</v>
      </c>
      <c r="Q117" s="49">
        <v>54.672633715251749</v>
      </c>
      <c r="R117" s="18">
        <v>15.391707078905233</v>
      </c>
      <c r="S117" s="47">
        <v>0.93565920584298023</v>
      </c>
      <c r="T117" s="18">
        <v>99.375</v>
      </c>
      <c r="U117" s="51">
        <v>7.2057815860602741</v>
      </c>
      <c r="Y117" s="53"/>
      <c r="Z117" s="53"/>
    </row>
    <row r="118" spans="2:26" x14ac:dyDescent="0.25">
      <c r="B118" s="67"/>
      <c r="C118" s="6" t="s">
        <v>11</v>
      </c>
      <c r="D118" s="7" t="s">
        <v>72</v>
      </c>
      <c r="E118" s="5"/>
      <c r="F118" s="71">
        <f>IF(C118=hops!$B$2,0,find_c(C118,"hops","B2:B1000",2)/100)</f>
        <v>0</v>
      </c>
      <c r="G118" s="56"/>
      <c r="H118" s="77" t="s">
        <v>10</v>
      </c>
      <c r="I118" s="73" t="str">
        <f t="shared" si="3"/>
        <v>-</v>
      </c>
      <c r="O118" s="84">
        <f t="shared" si="2"/>
        <v>61</v>
      </c>
      <c r="P118" s="46">
        <v>29</v>
      </c>
      <c r="Q118" s="49">
        <v>54.402448560257987</v>
      </c>
      <c r="R118" s="18">
        <v>15.627338820900706</v>
      </c>
      <c r="S118" s="47">
        <v>0.97021261884126886</v>
      </c>
      <c r="T118" s="18">
        <v>99.5</v>
      </c>
      <c r="U118" s="51">
        <v>7.3160949423928745</v>
      </c>
      <c r="Y118" s="53"/>
      <c r="Z118" s="53"/>
    </row>
    <row r="119" spans="2:26" x14ac:dyDescent="0.25">
      <c r="B119" s="67"/>
      <c r="C119" s="6" t="s">
        <v>11</v>
      </c>
      <c r="D119" s="7" t="s">
        <v>72</v>
      </c>
      <c r="E119" s="5"/>
      <c r="F119" s="71">
        <f>IF(C119=hops!$B$2,0,find_c(C119,"hops","B2:B1000",2)/100)</f>
        <v>0</v>
      </c>
      <c r="G119" s="56"/>
      <c r="H119" s="77" t="s">
        <v>10</v>
      </c>
      <c r="I119" s="73" t="str">
        <f t="shared" si="3"/>
        <v>-</v>
      </c>
      <c r="O119" s="84">
        <f t="shared" si="2"/>
        <v>60.75</v>
      </c>
      <c r="P119" s="46">
        <v>29.25</v>
      </c>
      <c r="Q119" s="49">
        <v>54.130712631377065</v>
      </c>
      <c r="R119" s="18">
        <v>15.863579473769905</v>
      </c>
      <c r="S119" s="47">
        <v>1.0057078948529909</v>
      </c>
      <c r="T119" s="18">
        <v>99.625</v>
      </c>
      <c r="U119" s="51">
        <v>7.4266933664401185</v>
      </c>
      <c r="Y119" s="53"/>
      <c r="Z119" s="53"/>
    </row>
    <row r="120" spans="2:26" x14ac:dyDescent="0.25">
      <c r="B120" s="67"/>
      <c r="C120" s="6" t="s">
        <v>11</v>
      </c>
      <c r="D120" s="7" t="s">
        <v>72</v>
      </c>
      <c r="E120" s="5"/>
      <c r="F120" s="71">
        <f>IF(C120=hops!$B$2,0,find_c(C120,"hops","B2:B1000",2)/100)</f>
        <v>0</v>
      </c>
      <c r="G120" s="56"/>
      <c r="H120" s="77" t="s">
        <v>10</v>
      </c>
      <c r="I120" s="73" t="str">
        <f t="shared" si="3"/>
        <v>-</v>
      </c>
      <c r="O120" s="84">
        <f t="shared" si="2"/>
        <v>60.5</v>
      </c>
      <c r="P120" s="46">
        <v>29.5</v>
      </c>
      <c r="Q120" s="49">
        <v>53.857433554621586</v>
      </c>
      <c r="R120" s="18">
        <v>16.100402914629612</v>
      </c>
      <c r="S120" s="47">
        <v>1.0421635307487604</v>
      </c>
      <c r="T120" s="18">
        <v>99.75</v>
      </c>
      <c r="U120" s="51">
        <v>7.5375646285129987</v>
      </c>
      <c r="Y120" s="53"/>
      <c r="Z120" s="53"/>
    </row>
    <row r="121" spans="2:26" x14ac:dyDescent="0.25">
      <c r="B121" s="67"/>
      <c r="C121" s="6" t="s">
        <v>11</v>
      </c>
      <c r="D121" s="7" t="s">
        <v>72</v>
      </c>
      <c r="E121" s="5"/>
      <c r="F121" s="71">
        <f>IF(C121=hops!$B$2,0,find_c(C121,"hops","B2:B1000",2)/100)</f>
        <v>0</v>
      </c>
      <c r="G121" s="56"/>
      <c r="H121" s="77" t="s">
        <v>10</v>
      </c>
      <c r="I121" s="73" t="str">
        <f t="shared" si="3"/>
        <v>-</v>
      </c>
      <c r="O121" s="84">
        <f t="shared" si="2"/>
        <v>60.25</v>
      </c>
      <c r="P121" s="46">
        <v>29.75</v>
      </c>
      <c r="Q121" s="49">
        <v>53.582619332584457</v>
      </c>
      <c r="R121" s="18">
        <v>16.337782399390978</v>
      </c>
      <c r="S121" s="47">
        <v>1.0795982680245253</v>
      </c>
      <c r="T121" s="18">
        <v>99.875</v>
      </c>
      <c r="U121" s="51">
        <v>7.6486962080988796</v>
      </c>
      <c r="Y121" s="53"/>
      <c r="Z121" s="53"/>
    </row>
    <row r="122" spans="2:26" x14ac:dyDescent="0.25">
      <c r="B122" s="67"/>
      <c r="C122" s="6" t="s">
        <v>11</v>
      </c>
      <c r="D122" s="7" t="s">
        <v>72</v>
      </c>
      <c r="E122" s="5"/>
      <c r="F122" s="71">
        <f>IF(C122=hops!$B$2,0,find_c(C122,"hops","B2:B1000",2)/100)</f>
        <v>0</v>
      </c>
      <c r="G122" s="56"/>
      <c r="H122" s="77" t="s">
        <v>10</v>
      </c>
      <c r="I122" s="73" t="str">
        <f t="shared" si="3"/>
        <v>-</v>
      </c>
      <c r="O122" s="84">
        <f t="shared" si="2"/>
        <v>60</v>
      </c>
      <c r="P122" s="46">
        <v>30</v>
      </c>
      <c r="Q122" s="49">
        <v>101.30627834897032</v>
      </c>
      <c r="R122" s="18">
        <v>16.575690558103819</v>
      </c>
      <c r="S122" s="47">
        <v>1.1180310929258259</v>
      </c>
      <c r="T122" s="18">
        <v>100</v>
      </c>
      <c r="U122" s="51">
        <v>7.7600752916818836</v>
      </c>
      <c r="Y122" s="53"/>
      <c r="Z122" s="53"/>
    </row>
    <row r="123" spans="2:26" x14ac:dyDescent="0.25">
      <c r="B123" s="67"/>
      <c r="C123" s="6" t="s">
        <v>11</v>
      </c>
      <c r="D123" s="7" t="s">
        <v>72</v>
      </c>
      <c r="E123" s="5"/>
      <c r="F123" s="71">
        <f>IF(C123=hops!$B$2,0,find_c(C123,"hops","B2:B1000",2)/100)</f>
        <v>0</v>
      </c>
      <c r="G123" s="56"/>
      <c r="H123" s="77" t="s">
        <v>10</v>
      </c>
      <c r="I123" s="73" t="str">
        <f t="shared" si="3"/>
        <v>-</v>
      </c>
      <c r="O123" s="84">
        <f t="shared" si="2"/>
        <v>59.75</v>
      </c>
      <c r="P123" s="46">
        <v>30.25</v>
      </c>
      <c r="Q123" s="49">
        <v>100.77821937307631</v>
      </c>
      <c r="R123" s="18">
        <v>17.064299390469539</v>
      </c>
      <c r="S123" s="47">
        <v>1.1574812364541129</v>
      </c>
      <c r="T123" s="18">
        <v>100</v>
      </c>
      <c r="U123" s="51">
        <v>7.9888224026422199</v>
      </c>
      <c r="Y123" s="53"/>
      <c r="Z123" s="53"/>
    </row>
    <row r="124" spans="2:26" x14ac:dyDescent="0.25">
      <c r="B124" s="67"/>
      <c r="C124" s="6" t="s">
        <v>11</v>
      </c>
      <c r="D124" s="7" t="s">
        <v>72</v>
      </c>
      <c r="E124" s="5"/>
      <c r="F124" s="71">
        <f>IF(C124=hops!$B$2,0,find_c(C124,"hops","B2:B1000",2)/100)</f>
        <v>0</v>
      </c>
      <c r="G124" s="56"/>
      <c r="H124" s="77" t="s">
        <v>10</v>
      </c>
      <c r="I124" s="73" t="str">
        <f t="shared" si="3"/>
        <v>-</v>
      </c>
      <c r="O124" s="84">
        <f t="shared" si="2"/>
        <v>59.5</v>
      </c>
      <c r="P124" s="46">
        <v>30.5</v>
      </c>
      <c r="Q124" s="49">
        <v>100.25291290459415</v>
      </c>
      <c r="R124" s="18">
        <v>17.548992826402383</v>
      </c>
      <c r="S124" s="47">
        <v>1.1980942690034304</v>
      </c>
      <c r="T124" s="18">
        <v>100</v>
      </c>
      <c r="U124" s="51">
        <v>8.2157364816085394</v>
      </c>
      <c r="Y124" s="53"/>
      <c r="Z124" s="53"/>
    </row>
    <row r="125" spans="2:26" x14ac:dyDescent="0.25">
      <c r="B125" s="67"/>
      <c r="C125" s="6" t="s">
        <v>11</v>
      </c>
      <c r="D125" s="7" t="s">
        <v>72</v>
      </c>
      <c r="E125" s="5"/>
      <c r="F125" s="71">
        <f>IF(C125=hops!$B$2,0,find_c(C125,"hops","B2:B1000",2)/100)</f>
        <v>0</v>
      </c>
      <c r="G125" s="56"/>
      <c r="H125" s="77" t="s">
        <v>10</v>
      </c>
      <c r="I125" s="73" t="str">
        <f t="shared" si="3"/>
        <v>-</v>
      </c>
      <c r="O125" s="84">
        <f t="shared" si="2"/>
        <v>59.25</v>
      </c>
      <c r="P125" s="46">
        <v>30.75</v>
      </c>
      <c r="Q125" s="49">
        <v>99.730344596078965</v>
      </c>
      <c r="R125" s="18">
        <v>18.029794531990742</v>
      </c>
      <c r="S125" s="47">
        <v>1.2398608719302682</v>
      </c>
      <c r="T125" s="18">
        <v>100</v>
      </c>
      <c r="U125" s="51">
        <v>8.4408286080967851</v>
      </c>
      <c r="Y125" s="53"/>
      <c r="Z125" s="53"/>
    </row>
    <row r="126" spans="2:26" x14ac:dyDescent="0.25">
      <c r="B126" s="67"/>
      <c r="C126" s="6" t="s">
        <v>11</v>
      </c>
      <c r="D126" s="7" t="s">
        <v>72</v>
      </c>
      <c r="E126" s="5"/>
      <c r="F126" s="71">
        <f>IF(C126=hops!$B$2,0,find_c(C126,"hops","B2:B1000",2)/100)</f>
        <v>0</v>
      </c>
      <c r="G126" s="56"/>
      <c r="H126" s="77" t="s">
        <v>10</v>
      </c>
      <c r="I126" s="73" t="str">
        <f t="shared" si="3"/>
        <v>-</v>
      </c>
      <c r="O126" s="84">
        <f t="shared" si="2"/>
        <v>59</v>
      </c>
      <c r="P126" s="46">
        <v>31</v>
      </c>
      <c r="Q126" s="49">
        <v>99.210500174871896</v>
      </c>
      <c r="R126" s="18">
        <v>18.506728042211666</v>
      </c>
      <c r="S126" s="47">
        <v>1.282771782916406</v>
      </c>
      <c r="T126" s="18">
        <v>100</v>
      </c>
      <c r="U126" s="51">
        <v>8.664109800241814</v>
      </c>
      <c r="Y126" s="53"/>
      <c r="Z126" s="53"/>
    </row>
    <row r="127" spans="2:26" x14ac:dyDescent="0.25">
      <c r="B127" s="67"/>
      <c r="C127" s="6" t="s">
        <v>11</v>
      </c>
      <c r="D127" s="7" t="s">
        <v>72</v>
      </c>
      <c r="E127" s="5"/>
      <c r="F127" s="71">
        <f>IF(C127=hops!$B$2,0,find_c(C127,"hops","B2:B1000",2)/100)</f>
        <v>0</v>
      </c>
      <c r="G127" s="56"/>
      <c r="H127" s="77" t="s">
        <v>10</v>
      </c>
      <c r="I127" s="73" t="str">
        <f t="shared" si="3"/>
        <v>-</v>
      </c>
      <c r="O127" s="84">
        <f t="shared" si="2"/>
        <v>58.75</v>
      </c>
      <c r="P127" s="46">
        <v>31.25</v>
      </c>
      <c r="Q127" s="49">
        <v>98.693365442710373</v>
      </c>
      <c r="R127" s="18">
        <v>18.979816761632723</v>
      </c>
      <c r="S127" s="47">
        <v>1.3268177956568699</v>
      </c>
      <c r="T127" s="18">
        <v>100</v>
      </c>
      <c r="U127" s="51">
        <v>8.8855910151259749</v>
      </c>
      <c r="Y127" s="53"/>
      <c r="Z127" s="53"/>
    </row>
    <row r="128" spans="2:26" x14ac:dyDescent="0.25">
      <c r="B128" s="67"/>
      <c r="C128" s="6" t="s">
        <v>11</v>
      </c>
      <c r="D128" s="7" t="s">
        <v>72</v>
      </c>
      <c r="E128" s="5"/>
      <c r="F128" s="71">
        <f>IF(C128=hops!$B$2,0,find_c(C128,"hops","B2:B1000",2)/100)</f>
        <v>0</v>
      </c>
      <c r="G128" s="56"/>
      <c r="H128" s="77" t="s">
        <v>10</v>
      </c>
      <c r="I128" s="73" t="str">
        <f t="shared" si="3"/>
        <v>-</v>
      </c>
      <c r="O128" s="84">
        <f t="shared" si="2"/>
        <v>58.5</v>
      </c>
      <c r="P128" s="46">
        <v>31.5</v>
      </c>
      <c r="Q128" s="49">
        <v>98.178926275340245</v>
      </c>
      <c r="R128" s="18">
        <v>19.449083965110166</v>
      </c>
      <c r="S128" s="47">
        <v>1.3719897595495558</v>
      </c>
      <c r="T128" s="18">
        <v>100</v>
      </c>
      <c r="U128" s="51">
        <v>9.1052831491059756</v>
      </c>
      <c r="Y128" s="53"/>
      <c r="Z128" s="53"/>
    </row>
    <row r="129" spans="2:26" x14ac:dyDescent="0.25">
      <c r="B129" s="67"/>
      <c r="C129" s="6" t="s">
        <v>11</v>
      </c>
      <c r="D129" s="7" t="s">
        <v>72</v>
      </c>
      <c r="E129" s="5"/>
      <c r="F129" s="71">
        <f>IF(C129=hops!$B$2,0,find_c(C129,"hops","B2:B1000",2)/100)</f>
        <v>0</v>
      </c>
      <c r="G129" s="56"/>
      <c r="H129" s="77" t="s">
        <v>10</v>
      </c>
      <c r="I129" s="73" t="str">
        <f t="shared" si="3"/>
        <v>-</v>
      </c>
      <c r="O129" s="84">
        <f t="shared" si="2"/>
        <v>58.25</v>
      </c>
      <c r="P129" s="46">
        <v>31.75</v>
      </c>
      <c r="Q129" s="49">
        <v>97.667168622130035</v>
      </c>
      <c r="R129" s="18">
        <v>19.914552798483413</v>
      </c>
      <c r="S129" s="47">
        <v>1.418278579386518</v>
      </c>
      <c r="T129" s="18">
        <v>100</v>
      </c>
      <c r="U129" s="51">
        <v>9.3231970381379945</v>
      </c>
      <c r="Y129" s="53"/>
      <c r="Z129" s="53"/>
    </row>
    <row r="130" spans="2:26" x14ac:dyDescent="0.25">
      <c r="B130" s="67"/>
      <c r="C130" s="6" t="s">
        <v>11</v>
      </c>
      <c r="D130" s="7" t="s">
        <v>72</v>
      </c>
      <c r="E130" s="5"/>
      <c r="F130" s="71">
        <f>IF(C130=hops!$B$2,0,find_c(C130,"hops","B2:B1000",2)/100)</f>
        <v>0</v>
      </c>
      <c r="G130" s="56"/>
      <c r="H130" s="77" t="s">
        <v>10</v>
      </c>
      <c r="I130" s="73" t="str">
        <f t="shared" si="3"/>
        <v>-</v>
      </c>
      <c r="O130" s="84">
        <f t="shared" si="2"/>
        <v>58</v>
      </c>
      <c r="P130" s="46">
        <v>32</v>
      </c>
      <c r="Q130" s="49">
        <v>97.158078505687186</v>
      </c>
      <c r="R130" s="18">
        <v>20.376246279265875</v>
      </c>
      <c r="S130" s="47">
        <v>1.4656752150469086</v>
      </c>
      <c r="T130" s="18">
        <v>100</v>
      </c>
      <c r="U130" s="51">
        <v>9.5393434581011114</v>
      </c>
      <c r="Y130" s="53"/>
      <c r="Z130" s="53"/>
    </row>
    <row r="131" spans="2:26" x14ac:dyDescent="0.25">
      <c r="B131" s="67"/>
      <c r="C131" s="6" t="s">
        <v>11</v>
      </c>
      <c r="D131" s="7" t="s">
        <v>72</v>
      </c>
      <c r="E131" s="5"/>
      <c r="F131" s="71">
        <f>IF(C131=hops!$B$2,0,find_c(C131,"hops","B2:B1000",2)/100)</f>
        <v>0</v>
      </c>
      <c r="G131" s="56"/>
      <c r="H131" s="77" t="s">
        <v>10</v>
      </c>
      <c r="I131" s="73" t="str">
        <f t="shared" si="3"/>
        <v>-</v>
      </c>
      <c r="O131" s="84">
        <f t="shared" ref="O131:O194" si="4">90-P131</f>
        <v>57.75</v>
      </c>
      <c r="P131" s="46">
        <v>32.25</v>
      </c>
      <c r="Q131" s="49">
        <v>96.651642021476292</v>
      </c>
      <c r="R131" s="18">
        <v>20.834187297332114</v>
      </c>
      <c r="S131" s="47">
        <v>1.5141706811915614</v>
      </c>
      <c r="T131" s="18">
        <v>100</v>
      </c>
      <c r="U131" s="51">
        <v>9.7537331251190036</v>
      </c>
      <c r="Y131" s="53"/>
      <c r="Z131" s="53"/>
    </row>
    <row r="132" spans="2:26" x14ac:dyDescent="0.25">
      <c r="B132" s="67"/>
      <c r="C132" s="6" t="s">
        <v>11</v>
      </c>
      <c r="D132" s="7" t="s">
        <v>72</v>
      </c>
      <c r="E132" s="5"/>
      <c r="F132" s="71">
        <f>IF(C132=hops!$B$2,0,find_c(C132,"hops","B2:B1000",2)/100)</f>
        <v>0</v>
      </c>
      <c r="G132" s="56"/>
      <c r="H132" s="77" t="s">
        <v>10</v>
      </c>
      <c r="I132" s="73" t="str">
        <f t="shared" si="3"/>
        <v>-</v>
      </c>
      <c r="O132" s="84">
        <f t="shared" si="4"/>
        <v>57.5</v>
      </c>
      <c r="P132" s="46">
        <v>32.5</v>
      </c>
      <c r="Q132" s="49">
        <v>96.14784533743935</v>
      </c>
      <c r="R132" s="18">
        <v>21.288398615601409</v>
      </c>
      <c r="S132" s="47">
        <v>1.5637560469592118</v>
      </c>
      <c r="T132" s="18">
        <v>100</v>
      </c>
      <c r="U132" s="51">
        <v>9.9663766958799549</v>
      </c>
      <c r="Y132" s="53"/>
      <c r="Z132" s="53"/>
    </row>
    <row r="133" spans="2:26" x14ac:dyDescent="0.25">
      <c r="B133" s="67"/>
      <c r="C133" s="6" t="s">
        <v>11</v>
      </c>
      <c r="D133" s="7" t="s">
        <v>72</v>
      </c>
      <c r="E133" s="5"/>
      <c r="F133" s="71">
        <f>IF(C133=hops!$B$2,0,find_c(C133,"hops","B2:B1000",2)/100)</f>
        <v>0</v>
      </c>
      <c r="G133" s="56"/>
      <c r="H133" s="77" t="s">
        <v>10</v>
      </c>
      <c r="I133" s="73" t="str">
        <f t="shared" si="3"/>
        <v>-</v>
      </c>
      <c r="O133" s="84">
        <f t="shared" si="4"/>
        <v>57.25</v>
      </c>
      <c r="P133" s="46">
        <v>32.75</v>
      </c>
      <c r="Q133" s="49">
        <v>95.646674693617953</v>
      </c>
      <c r="R133" s="18">
        <v>21.738902870717681</v>
      </c>
      <c r="S133" s="47">
        <v>1.6144224356643431</v>
      </c>
      <c r="T133" s="18">
        <v>100</v>
      </c>
      <c r="U133" s="51">
        <v>10.177284767955189</v>
      </c>
      <c r="Y133" s="53"/>
      <c r="Z133" s="53"/>
    </row>
    <row r="134" spans="2:26" x14ac:dyDescent="0.25">
      <c r="B134" s="67"/>
      <c r="C134" s="6" t="s">
        <v>11</v>
      </c>
      <c r="D134" s="7" t="s">
        <v>72</v>
      </c>
      <c r="E134" s="5"/>
      <c r="F134" s="71">
        <f>IF(C134=hops!$B$2,0,find_c(C134,"hops","B2:B1000",2)/100)</f>
        <v>0</v>
      </c>
      <c r="G134" s="56"/>
      <c r="H134" s="77" t="s">
        <v>10</v>
      </c>
      <c r="I134" s="73" t="str">
        <f t="shared" ref="I134:I197" si="5">IF((H134)="-","-",H134/$K$13)</f>
        <v>-</v>
      </c>
      <c r="O134" s="84">
        <f t="shared" si="4"/>
        <v>57</v>
      </c>
      <c r="P134" s="46">
        <v>33</v>
      </c>
      <c r="Q134" s="49">
        <v>95.148116401777472</v>
      </c>
      <c r="R134" s="18">
        <v>22.185722573725858</v>
      </c>
      <c r="S134" s="47">
        <v>1.6661610244966512</v>
      </c>
      <c r="T134" s="18">
        <v>100</v>
      </c>
      <c r="U134" s="51">
        <v>10.386467880115498</v>
      </c>
      <c r="Y134" s="53"/>
      <c r="Z134" s="53"/>
    </row>
    <row r="135" spans="2:26" x14ac:dyDescent="0.25">
      <c r="B135" s="67"/>
      <c r="C135" s="6" t="s">
        <v>11</v>
      </c>
      <c r="D135" s="7" t="s">
        <v>72</v>
      </c>
      <c r="E135" s="5"/>
      <c r="F135" s="71">
        <f>IF(C135=hops!$B$2,0,find_c(C135,"hops","B2:B1000",2)/100)</f>
        <v>0</v>
      </c>
      <c r="G135" s="56"/>
      <c r="H135" s="77" t="s">
        <v>10</v>
      </c>
      <c r="I135" s="73" t="str">
        <f t="shared" si="5"/>
        <v>-</v>
      </c>
      <c r="O135" s="84">
        <f t="shared" si="4"/>
        <v>56.75</v>
      </c>
      <c r="P135" s="46">
        <v>33.25</v>
      </c>
      <c r="Q135" s="49">
        <v>94.652156845033204</v>
      </c>
      <c r="R135" s="18">
        <v>22.628880110744653</v>
      </c>
      <c r="S135" s="47">
        <v>1.7189630442221187</v>
      </c>
      <c r="T135" s="18">
        <v>100</v>
      </c>
      <c r="U135" s="51">
        <v>10.593936512646216</v>
      </c>
      <c r="Y135" s="53"/>
      <c r="Z135" s="53"/>
    </row>
    <row r="136" spans="2:26" x14ac:dyDescent="0.25">
      <c r="B136" s="67"/>
      <c r="C136" s="6" t="s">
        <v>11</v>
      </c>
      <c r="D136" s="7" t="s">
        <v>72</v>
      </c>
      <c r="E136" s="5"/>
      <c r="F136" s="71">
        <f>IF(C136=hops!$B$2,0,find_c(C136,"hops","B2:B1000",2)/100)</f>
        <v>0</v>
      </c>
      <c r="G136" s="56"/>
      <c r="H136" s="77" t="s">
        <v>10</v>
      </c>
      <c r="I136" s="73" t="str">
        <f t="shared" si="5"/>
        <v>-</v>
      </c>
      <c r="O136" s="84">
        <f t="shared" si="4"/>
        <v>56.5</v>
      </c>
      <c r="P136" s="46">
        <v>33.5</v>
      </c>
      <c r="Q136" s="49">
        <v>94.158782477478468</v>
      </c>
      <c r="R136" s="18">
        <v>23.068397743635817</v>
      </c>
      <c r="S136" s="47">
        <v>1.772819778885691</v>
      </c>
      <c r="T136" s="18">
        <v>100</v>
      </c>
      <c r="U136" s="51">
        <v>10.799701087660544</v>
      </c>
      <c r="Y136" s="53"/>
      <c r="Z136" s="53"/>
    </row>
    <row r="137" spans="2:26" x14ac:dyDescent="0.25">
      <c r="B137" s="67"/>
      <c r="C137" s="6" t="s">
        <v>11</v>
      </c>
      <c r="D137" s="7" t="s">
        <v>72</v>
      </c>
      <c r="E137" s="5"/>
      <c r="F137" s="71">
        <f>IF(C137=hops!$B$2,0,find_c(C137,"hops","B2:B1000",2)/100)</f>
        <v>0</v>
      </c>
      <c r="G137" s="56"/>
      <c r="H137" s="77" t="s">
        <v>10</v>
      </c>
      <c r="I137" s="73" t="str">
        <f t="shared" si="5"/>
        <v>-</v>
      </c>
      <c r="O137" s="84">
        <f t="shared" si="4"/>
        <v>56.25</v>
      </c>
      <c r="P137" s="46">
        <v>33.75</v>
      </c>
      <c r="Q137" s="49">
        <v>93.667979823814605</v>
      </c>
      <c r="R137" s="18">
        <v>23.50429761066982</v>
      </c>
      <c r="S137" s="47">
        <v>1.8277225655155442</v>
      </c>
      <c r="T137" s="18">
        <v>100</v>
      </c>
      <c r="U137" s="51">
        <v>11.003771969411183</v>
      </c>
      <c r="Y137" s="53"/>
      <c r="Z137" s="53"/>
    </row>
    <row r="138" spans="2:26" x14ac:dyDescent="0.25">
      <c r="B138" s="67"/>
      <c r="C138" s="6" t="s">
        <v>11</v>
      </c>
      <c r="D138" s="7" t="s">
        <v>72</v>
      </c>
      <c r="E138" s="5"/>
      <c r="F138" s="71">
        <f>IF(C138=hops!$B$2,0,find_c(C138,"hops","B2:B1000",2)/100)</f>
        <v>0</v>
      </c>
      <c r="G138" s="56"/>
      <c r="H138" s="77" t="s">
        <v>10</v>
      </c>
      <c r="I138" s="73" t="str">
        <f t="shared" si="5"/>
        <v>-</v>
      </c>
      <c r="O138" s="84">
        <f t="shared" si="4"/>
        <v>56</v>
      </c>
      <c r="P138" s="46">
        <v>34</v>
      </c>
      <c r="Q138" s="49">
        <v>93.179735478982977</v>
      </c>
      <c r="R138" s="18">
        <v>23.936601727188062</v>
      </c>
      <c r="S138" s="47">
        <v>1.8836627938289383</v>
      </c>
      <c r="T138" s="18">
        <v>100</v>
      </c>
      <c r="U138" s="51">
        <v>11.206159464600363</v>
      </c>
      <c r="Y138" s="53"/>
      <c r="Z138" s="53"/>
    </row>
    <row r="139" spans="2:26" x14ac:dyDescent="0.25">
      <c r="B139" s="67"/>
      <c r="C139" s="6" t="s">
        <v>11</v>
      </c>
      <c r="D139" s="7" t="s">
        <v>72</v>
      </c>
      <c r="E139" s="5"/>
      <c r="F139" s="71">
        <f>IF(C139=hops!$B$2,0,find_c(C139,"hops","B2:B1000",2)/100)</f>
        <v>0</v>
      </c>
      <c r="G139" s="56"/>
      <c r="H139" s="77" t="s">
        <v>10</v>
      </c>
      <c r="I139" s="73" t="str">
        <f t="shared" si="5"/>
        <v>-</v>
      </c>
      <c r="O139" s="84">
        <f t="shared" si="4"/>
        <v>55.75</v>
      </c>
      <c r="P139" s="46">
        <v>34.25</v>
      </c>
      <c r="Q139" s="49">
        <v>92.69403610779878</v>
      </c>
      <c r="R139" s="18">
        <v>24.365331986261555</v>
      </c>
      <c r="S139" s="47">
        <v>1.940631905939646</v>
      </c>
      <c r="T139" s="18">
        <v>100</v>
      </c>
      <c r="U139" s="51">
        <v>11.406873822688208</v>
      </c>
      <c r="Y139" s="53"/>
      <c r="Z139" s="53"/>
    </row>
    <row r="140" spans="2:26" x14ac:dyDescent="0.25">
      <c r="B140" s="67"/>
      <c r="C140" s="6" t="s">
        <v>11</v>
      </c>
      <c r="D140" s="7" t="s">
        <v>72</v>
      </c>
      <c r="E140" s="5"/>
      <c r="F140" s="71">
        <f>IF(C140=hops!$B$2,0,find_c(C140,"hops","B2:B1000",2)/100)</f>
        <v>0</v>
      </c>
      <c r="G140" s="56"/>
      <c r="H140" s="77" t="s">
        <v>10</v>
      </c>
      <c r="I140" s="73" t="str">
        <f t="shared" si="5"/>
        <v>-</v>
      </c>
      <c r="O140" s="84">
        <f t="shared" si="4"/>
        <v>55.5</v>
      </c>
      <c r="P140" s="46">
        <v>34.5</v>
      </c>
      <c r="Q140" s="49">
        <v>92.210868444586879</v>
      </c>
      <c r="R140" s="18">
        <v>24.790510159346155</v>
      </c>
      <c r="S140" s="47">
        <v>1.9986213960669486</v>
      </c>
      <c r="T140" s="18">
        <v>100</v>
      </c>
      <c r="U140" s="51">
        <v>11.605925236199496</v>
      </c>
      <c r="Y140" s="53"/>
      <c r="Z140" s="53"/>
    </row>
    <row r="141" spans="2:26" x14ac:dyDescent="0.25">
      <c r="B141" s="67"/>
      <c r="C141" s="6" t="s">
        <v>11</v>
      </c>
      <c r="D141" s="7" t="s">
        <v>72</v>
      </c>
      <c r="E141" s="5"/>
      <c r="F141" s="71">
        <f>IF(C141=hops!$B$2,0,find_c(C141,"hops","B2:B1000",2)/100)</f>
        <v>0</v>
      </c>
      <c r="G141" s="56"/>
      <c r="H141" s="77" t="s">
        <v>10</v>
      </c>
      <c r="I141" s="73" t="str">
        <f t="shared" si="5"/>
        <v>-</v>
      </c>
      <c r="O141" s="84">
        <f t="shared" si="4"/>
        <v>55.25</v>
      </c>
      <c r="P141" s="46">
        <v>34.75</v>
      </c>
      <c r="Q141" s="49">
        <v>91.73021929281947</v>
      </c>
      <c r="R141" s="18">
        <v>25.212157896934322</v>
      </c>
      <c r="S141" s="47">
        <v>2.0576228102461922</v>
      </c>
      <c r="T141" s="18">
        <v>100</v>
      </c>
      <c r="U141" s="51">
        <v>11.803323841028773</v>
      </c>
      <c r="Y141" s="53"/>
      <c r="Z141" s="53"/>
    </row>
    <row r="142" spans="2:26" x14ac:dyDescent="0.25">
      <c r="B142" s="67"/>
      <c r="C142" s="6" t="s">
        <v>11</v>
      </c>
      <c r="D142" s="7" t="s">
        <v>72</v>
      </c>
      <c r="E142" s="5"/>
      <c r="F142" s="71">
        <f>IF(C142=hops!$B$2,0,find_c(C142,"hops","B2:B1000",2)/100)</f>
        <v>0</v>
      </c>
      <c r="G142" s="56"/>
      <c r="H142" s="77" t="s">
        <v>10</v>
      </c>
      <c r="I142" s="73" t="str">
        <f t="shared" si="5"/>
        <v>-</v>
      </c>
      <c r="O142" s="84">
        <f t="shared" si="4"/>
        <v>55</v>
      </c>
      <c r="P142" s="46">
        <v>35</v>
      </c>
      <c r="Q142" s="49">
        <v>91.252075524755654</v>
      </c>
      <c r="R142" s="18">
        <v>25.630296729203437</v>
      </c>
      <c r="S142" s="47">
        <v>2.1176277460408959</v>
      </c>
      <c r="T142" s="18">
        <v>100</v>
      </c>
      <c r="U142" s="51">
        <v>11.99907971674388</v>
      </c>
      <c r="Y142" s="53"/>
      <c r="Z142" s="53"/>
    </row>
    <row r="143" spans="2:26" x14ac:dyDescent="0.25">
      <c r="B143" s="67"/>
      <c r="C143" s="6" t="s">
        <v>11</v>
      </c>
      <c r="D143" s="7" t="s">
        <v>72</v>
      </c>
      <c r="E143" s="5"/>
      <c r="F143" s="71">
        <f>IF(C143=hops!$B$2,0,find_c(C143,"hops","B2:B1000",2)/100)</f>
        <v>0</v>
      </c>
      <c r="G143" s="56"/>
      <c r="H143" s="77" t="s">
        <v>10</v>
      </c>
      <c r="I143" s="73" t="str">
        <f t="shared" si="5"/>
        <v>-</v>
      </c>
      <c r="O143" s="84">
        <f t="shared" si="4"/>
        <v>54.75</v>
      </c>
      <c r="P143" s="46">
        <v>35.25</v>
      </c>
      <c r="Q143" s="49">
        <v>90.776424081082865</v>
      </c>
      <c r="R143" s="18">
        <v>26.044948066660719</v>
      </c>
      <c r="S143" s="47">
        <v>2.1786278522564002</v>
      </c>
      <c r="T143" s="18">
        <v>100</v>
      </c>
      <c r="U143" s="51">
        <v>12.193202886887883</v>
      </c>
      <c r="Y143" s="53"/>
      <c r="Z143" s="53"/>
    </row>
    <row r="144" spans="2:26" x14ac:dyDescent="0.25">
      <c r="B144" s="67"/>
      <c r="C144" s="6" t="s">
        <v>11</v>
      </c>
      <c r="D144" s="7" t="s">
        <v>72</v>
      </c>
      <c r="E144" s="5"/>
      <c r="F144" s="71">
        <f>IF(C144=hops!$B$2,0,find_c(C144,"hops","B2:B1000",2)/100)</f>
        <v>0</v>
      </c>
      <c r="G144" s="56"/>
      <c r="H144" s="77" t="s">
        <v>10</v>
      </c>
      <c r="I144" s="73" t="str">
        <f t="shared" si="5"/>
        <v>-</v>
      </c>
      <c r="O144" s="84">
        <f t="shared" si="4"/>
        <v>54.5</v>
      </c>
      <c r="P144" s="46">
        <v>35.5</v>
      </c>
      <c r="Q144" s="49">
        <v>90.303251970560225</v>
      </c>
      <c r="R144" s="18">
        <v>26.456133200784709</v>
      </c>
      <c r="S144" s="47">
        <v>2.2406148286550529</v>
      </c>
      <c r="T144" s="18">
        <v>100</v>
      </c>
      <c r="U144" s="51">
        <v>12.38570331927937</v>
      </c>
      <c r="Y144" s="53"/>
      <c r="Z144" s="53"/>
    </row>
    <row r="145" spans="2:26" x14ac:dyDescent="0.25">
      <c r="B145" s="67"/>
      <c r="C145" s="6" t="s">
        <v>11</v>
      </c>
      <c r="D145" s="7" t="s">
        <v>72</v>
      </c>
      <c r="E145" s="5"/>
      <c r="F145" s="71">
        <f>IF(C145=hops!$B$2,0,find_c(C145,"hops","B2:B1000",2)/100)</f>
        <v>0</v>
      </c>
      <c r="G145" s="56"/>
      <c r="H145" s="77" t="s">
        <v>10</v>
      </c>
      <c r="I145" s="73" t="str">
        <f t="shared" si="5"/>
        <v>-</v>
      </c>
      <c r="O145" s="84">
        <f t="shared" si="4"/>
        <v>54.25</v>
      </c>
      <c r="P145" s="46">
        <v>35.75</v>
      </c>
      <c r="Q145" s="49">
        <v>89.832546269663681</v>
      </c>
      <c r="R145" s="18">
        <v>26.863873304663386</v>
      </c>
      <c r="S145" s="47">
        <v>2.3035804256729207</v>
      </c>
      <c r="T145" s="18">
        <v>100</v>
      </c>
      <c r="U145" s="51">
        <v>12.57659092631121</v>
      </c>
      <c r="Y145" s="53"/>
      <c r="Z145" s="53"/>
    </row>
    <row r="146" spans="2:26" x14ac:dyDescent="0.25">
      <c r="B146" s="67"/>
      <c r="C146" s="6" t="s">
        <v>11</v>
      </c>
      <c r="D146" s="7" t="s">
        <v>72</v>
      </c>
      <c r="E146" s="5"/>
      <c r="F146" s="71">
        <f>IF(C146=hops!$B$2,0,find_c(C146,"hops","B2:B1000",2)/100)</f>
        <v>0</v>
      </c>
      <c r="G146" s="56"/>
      <c r="H146" s="77" t="s">
        <v>10</v>
      </c>
      <c r="I146" s="73" t="str">
        <f t="shared" si="5"/>
        <v>-</v>
      </c>
      <c r="O146" s="84">
        <f t="shared" si="4"/>
        <v>54</v>
      </c>
      <c r="P146" s="46">
        <v>36</v>
      </c>
      <c r="Q146" s="49">
        <v>89.364294122233062</v>
      </c>
      <c r="R146" s="18">
        <v>27.268189433628908</v>
      </c>
      <c r="S146" s="47">
        <v>2.3675164441380194</v>
      </c>
      <c r="T146" s="18">
        <v>100</v>
      </c>
      <c r="U146" s="51">
        <v>12.765875565247709</v>
      </c>
      <c r="Y146" s="53"/>
      <c r="Z146" s="53"/>
    </row>
    <row r="147" spans="2:26" x14ac:dyDescent="0.25">
      <c r="B147" s="67"/>
      <c r="C147" s="6" t="s">
        <v>11</v>
      </c>
      <c r="D147" s="7" t="s">
        <v>72</v>
      </c>
      <c r="E147" s="5"/>
      <c r="F147" s="71">
        <f>IF(C147=hops!$B$2,0,find_c(C147,"hops","B2:B1000",2)/100)</f>
        <v>0</v>
      </c>
      <c r="G147" s="56"/>
      <c r="H147" s="77" t="s">
        <v>10</v>
      </c>
      <c r="I147" s="73" t="str">
        <f t="shared" si="5"/>
        <v>-</v>
      </c>
      <c r="O147" s="84">
        <f t="shared" si="4"/>
        <v>53.75</v>
      </c>
      <c r="P147" s="46">
        <v>36.25</v>
      </c>
      <c r="Q147" s="49">
        <v>88.898482739120922</v>
      </c>
      <c r="R147" s="18">
        <v>27.669102525889013</v>
      </c>
      <c r="S147" s="47">
        <v>2.432414734990056</v>
      </c>
      <c r="T147" s="18">
        <v>100</v>
      </c>
      <c r="U147" s="51">
        <v>12.953567038520202</v>
      </c>
      <c r="Y147" s="53"/>
      <c r="Z147" s="53"/>
    </row>
    <row r="148" spans="2:26" x14ac:dyDescent="0.25">
      <c r="B148" s="67"/>
      <c r="C148" s="6" t="s">
        <v>11</v>
      </c>
      <c r="D148" s="7" t="s">
        <v>72</v>
      </c>
      <c r="E148" s="5"/>
      <c r="F148" s="71">
        <f>IF(C148=hops!$B$2,0,find_c(C148,"hops","B2:B1000",2)/100)</f>
        <v>0</v>
      </c>
      <c r="G148" s="56"/>
      <c r="H148" s="77" t="s">
        <v>10</v>
      </c>
      <c r="I148" s="73" t="str">
        <f t="shared" si="5"/>
        <v>-</v>
      </c>
      <c r="O148" s="84">
        <f t="shared" si="4"/>
        <v>53.5</v>
      </c>
      <c r="P148" s="46">
        <v>36.5</v>
      </c>
      <c r="Q148" s="49">
        <v>88.43509939784326</v>
      </c>
      <c r="R148" s="18">
        <v>28.066633403155066</v>
      </c>
      <c r="S148" s="47">
        <v>2.4982671990016718</v>
      </c>
      <c r="T148" s="18">
        <v>100</v>
      </c>
      <c r="U148" s="51">
        <v>13.139675094021076</v>
      </c>
      <c r="Y148" s="53"/>
      <c r="Z148" s="53"/>
    </row>
    <row r="149" spans="2:26" x14ac:dyDescent="0.25">
      <c r="B149" s="67"/>
      <c r="C149" s="6" t="s">
        <v>11</v>
      </c>
      <c r="D149" s="7" t="s">
        <v>72</v>
      </c>
      <c r="E149" s="5"/>
      <c r="F149" s="71">
        <f>IF(C149=hops!$B$2,0,find_c(C149,"hops","B2:B1000",2)/100)</f>
        <v>0</v>
      </c>
      <c r="G149" s="56"/>
      <c r="H149" s="77" t="s">
        <v>10</v>
      </c>
      <c r="I149" s="73" t="str">
        <f t="shared" si="5"/>
        <v>-</v>
      </c>
      <c r="O149" s="84">
        <f t="shared" si="4"/>
        <v>53.25</v>
      </c>
      <c r="P149" s="46">
        <v>36.75</v>
      </c>
      <c r="Q149" s="49">
        <v>87.974131442232007</v>
      </c>
      <c r="R149" s="18">
        <v>28.460802771266817</v>
      </c>
      <c r="S149" s="47">
        <v>2.5650657865011808</v>
      </c>
      <c r="T149" s="18">
        <v>100</v>
      </c>
      <c r="U149" s="51">
        <v>13.324209425396273</v>
      </c>
      <c r="Y149" s="53"/>
      <c r="Z149" s="53"/>
    </row>
    <row r="150" spans="2:26" x14ac:dyDescent="0.25">
      <c r="B150" s="67"/>
      <c r="C150" s="6" t="s">
        <v>11</v>
      </c>
      <c r="D150" s="7" t="s">
        <v>72</v>
      </c>
      <c r="E150" s="5"/>
      <c r="F150" s="71">
        <f>IF(C150=hops!$B$2,0,find_c(C150,"hops","B2:B1000",2)/100)</f>
        <v>0</v>
      </c>
      <c r="G150" s="56"/>
      <c r="H150" s="77" t="s">
        <v>10</v>
      </c>
      <c r="I150" s="73" t="str">
        <f t="shared" si="5"/>
        <v>-</v>
      </c>
      <c r="O150" s="84">
        <f t="shared" si="4"/>
        <v>53</v>
      </c>
      <c r="P150" s="46">
        <v>37</v>
      </c>
      <c r="Q150" s="49">
        <v>87.515566282089367</v>
      </c>
      <c r="R150" s="18">
        <v>28.851631220813836</v>
      </c>
      <c r="S150" s="47">
        <v>2.6328024970967956</v>
      </c>
      <c r="T150" s="18">
        <v>100</v>
      </c>
      <c r="U150" s="51">
        <v>13.507179672336205</v>
      </c>
      <c r="Y150" s="53"/>
      <c r="Z150" s="53"/>
    </row>
    <row r="151" spans="2:26" x14ac:dyDescent="0.25">
      <c r="B151" s="67"/>
      <c r="C151" s="6" t="s">
        <v>11</v>
      </c>
      <c r="D151" s="7" t="s">
        <v>72</v>
      </c>
      <c r="E151" s="5"/>
      <c r="F151" s="71">
        <f>IF(C151=hops!$B$2,0,find_c(C151,"hops","B2:B1000",2)/100)</f>
        <v>0</v>
      </c>
      <c r="G151" s="56"/>
      <c r="H151" s="77" t="s">
        <v>10</v>
      </c>
      <c r="I151" s="73" t="str">
        <f t="shared" si="5"/>
        <v>-</v>
      </c>
      <c r="O151" s="84">
        <f t="shared" si="4"/>
        <v>52.75</v>
      </c>
      <c r="P151" s="46">
        <v>37.25</v>
      </c>
      <c r="Q151" s="49">
        <v>87.059391392843978</v>
      </c>
      <c r="R151" s="18">
        <v>29.239139227753689</v>
      </c>
      <c r="S151" s="47">
        <v>2.7014693794023326</v>
      </c>
      <c r="T151" s="18">
        <v>100</v>
      </c>
      <c r="U151" s="51">
        <v>13.688595420865168</v>
      </c>
      <c r="Y151" s="53"/>
      <c r="Z151" s="53"/>
    </row>
    <row r="152" spans="2:26" x14ac:dyDescent="0.25">
      <c r="B152" s="67"/>
      <c r="C152" s="6" t="s">
        <v>11</v>
      </c>
      <c r="D152" s="7" t="s">
        <v>72</v>
      </c>
      <c r="E152" s="5"/>
      <c r="F152" s="71">
        <f>IF(C152=hops!$B$2,0,find_c(C152,"hops","B2:B1000",2)/100)</f>
        <v>0</v>
      </c>
      <c r="G152" s="56"/>
      <c r="H152" s="77" t="s">
        <v>10</v>
      </c>
      <c r="I152" s="73" t="str">
        <f t="shared" si="5"/>
        <v>-</v>
      </c>
      <c r="O152" s="84">
        <f t="shared" si="4"/>
        <v>52.5</v>
      </c>
      <c r="P152" s="46">
        <v>37.5</v>
      </c>
      <c r="Q152" s="49">
        <v>86.605594315208776</v>
      </c>
      <c r="R152" s="18">
        <v>29.623347154026835</v>
      </c>
      <c r="S152" s="47">
        <v>2.7710585307643862</v>
      </c>
      <c r="T152" s="18">
        <v>100</v>
      </c>
      <c r="U152" s="51">
        <v>13.868466203629204</v>
      </c>
      <c r="Y152" s="53"/>
      <c r="Z152" s="53"/>
    </row>
    <row r="153" spans="2:26" x14ac:dyDescent="0.25">
      <c r="B153" s="67"/>
      <c r="C153" s="6" t="s">
        <v>11</v>
      </c>
      <c r="D153" s="7" t="s">
        <v>72</v>
      </c>
      <c r="E153" s="5"/>
      <c r="F153" s="71">
        <f>IF(C153=hops!$B$2,0,find_c(C153,"hops","B2:B1000",2)/100)</f>
        <v>0</v>
      </c>
      <c r="G153" s="56"/>
      <c r="H153" s="77" t="s">
        <v>10</v>
      </c>
      <c r="I153" s="73" t="str">
        <f t="shared" si="5"/>
        <v>-</v>
      </c>
      <c r="O153" s="84">
        <f t="shared" si="4"/>
        <v>52.25</v>
      </c>
      <c r="P153" s="46">
        <v>37.75</v>
      </c>
      <c r="Q153" s="49">
        <v>86.154162654840746</v>
      </c>
      <c r="R153" s="18">
        <v>30.004275248168277</v>
      </c>
      <c r="S153" s="47">
        <v>2.8415620969909701</v>
      </c>
      <c r="T153" s="18">
        <v>100</v>
      </c>
      <c r="U153" s="51">
        <v>14.046801500182459</v>
      </c>
      <c r="Y153" s="53"/>
      <c r="Z153" s="53"/>
    </row>
    <row r="154" spans="2:26" x14ac:dyDescent="0.25">
      <c r="B154" s="67"/>
      <c r="C154" s="6" t="s">
        <v>11</v>
      </c>
      <c r="D154" s="7" t="s">
        <v>72</v>
      </c>
      <c r="E154" s="5"/>
      <c r="F154" s="71">
        <f>IF(C154=hops!$B$2,0,find_c(C154,"hops","B2:B1000",2)/100)</f>
        <v>0</v>
      </c>
      <c r="G154" s="56"/>
      <c r="H154" s="77" t="s">
        <v>10</v>
      </c>
      <c r="I154" s="73" t="str">
        <f t="shared" si="5"/>
        <v>-</v>
      </c>
      <c r="O154" s="84">
        <f t="shared" si="4"/>
        <v>52</v>
      </c>
      <c r="P154" s="46">
        <v>38</v>
      </c>
      <c r="Q154" s="49">
        <v>85.705084082002386</v>
      </c>
      <c r="R154" s="18">
        <v>30.381943645915992</v>
      </c>
      <c r="S154" s="47">
        <v>2.9129722720816105</v>
      </c>
      <c r="T154" s="18">
        <v>100</v>
      </c>
      <c r="U154" s="51">
        <v>14.223610737272031</v>
      </c>
      <c r="Y154" s="53"/>
      <c r="Z154" s="53"/>
    </row>
    <row r="155" spans="2:26" x14ac:dyDescent="0.25">
      <c r="B155" s="67"/>
      <c r="C155" s="6" t="s">
        <v>11</v>
      </c>
      <c r="D155" s="7" t="s">
        <v>72</v>
      </c>
      <c r="E155" s="5"/>
      <c r="F155" s="71">
        <f>IF(C155=hops!$B$2,0,find_c(C155,"hops","B2:B1000",2)/100)</f>
        <v>0</v>
      </c>
      <c r="G155" s="56"/>
      <c r="H155" s="77" t="s">
        <v>10</v>
      </c>
      <c r="I155" s="73" t="str">
        <f t="shared" si="5"/>
        <v>-</v>
      </c>
      <c r="O155" s="84">
        <f t="shared" si="4"/>
        <v>51.75</v>
      </c>
      <c r="P155" s="46">
        <v>38.25</v>
      </c>
      <c r="Q155" s="49">
        <v>85.258346331224942</v>
      </c>
      <c r="R155" s="18">
        <v>30.756372370816148</v>
      </c>
      <c r="S155" s="47">
        <v>2.9852812979588905</v>
      </c>
      <c r="T155" s="18">
        <v>100</v>
      </c>
      <c r="U155" s="51">
        <v>14.398903289121288</v>
      </c>
      <c r="Y155" s="53"/>
      <c r="Z155" s="53"/>
    </row>
    <row r="156" spans="2:26" x14ac:dyDescent="0.25">
      <c r="B156" s="67"/>
      <c r="C156" s="6" t="s">
        <v>11</v>
      </c>
      <c r="D156" s="7" t="s">
        <v>72</v>
      </c>
      <c r="E156" s="5"/>
      <c r="F156" s="71">
        <f>IF(C156=hops!$B$2,0,find_c(C156,"hops","B2:B1000",2)/100)</f>
        <v>0</v>
      </c>
      <c r="G156" s="56"/>
      <c r="H156" s="77" t="s">
        <v>10</v>
      </c>
      <c r="I156" s="73" t="str">
        <f t="shared" si="5"/>
        <v>-</v>
      </c>
      <c r="O156" s="84">
        <f t="shared" si="4"/>
        <v>51.5</v>
      </c>
      <c r="P156" s="46">
        <v>38.5</v>
      </c>
      <c r="Q156" s="49">
        <v>84.813937200973427</v>
      </c>
      <c r="R156" s="18">
        <v>31.127581334825116</v>
      </c>
      <c r="S156" s="47">
        <v>3.0584814642014329</v>
      </c>
      <c r="T156" s="18">
        <v>100</v>
      </c>
      <c r="U156" s="51">
        <v>14.572688477711727</v>
      </c>
      <c r="Y156" s="53"/>
      <c r="Z156" s="53"/>
    </row>
    <row r="157" spans="2:26" x14ac:dyDescent="0.25">
      <c r="B157" s="67"/>
      <c r="C157" s="6" t="s">
        <v>11</v>
      </c>
      <c r="D157" s="7" t="s">
        <v>72</v>
      </c>
      <c r="E157" s="5"/>
      <c r="F157" s="71">
        <f>IF(C157=hops!$B$2,0,find_c(C157,"hops","B2:B1000",2)/100)</f>
        <v>0</v>
      </c>
      <c r="G157" s="56"/>
      <c r="H157" s="77" t="s">
        <v>10</v>
      </c>
      <c r="I157" s="73" t="str">
        <f t="shared" si="5"/>
        <v>-</v>
      </c>
      <c r="O157" s="84">
        <f t="shared" si="4"/>
        <v>51.25</v>
      </c>
      <c r="P157" s="46">
        <v>38.75</v>
      </c>
      <c r="Q157" s="49">
        <v>84.371844553313352</v>
      </c>
      <c r="R157" s="18">
        <v>31.495590338908308</v>
      </c>
      <c r="S157" s="47">
        <v>3.1325651077783165</v>
      </c>
      <c r="T157" s="18">
        <v>100</v>
      </c>
      <c r="U157" s="51">
        <v>14.744975573063313</v>
      </c>
      <c r="Y157" s="53"/>
      <c r="Z157" s="53"/>
    </row>
    <row r="158" spans="2:26" x14ac:dyDescent="0.25">
      <c r="B158" s="67"/>
      <c r="C158" s="6" t="s">
        <v>11</v>
      </c>
      <c r="D158" s="7" t="s">
        <v>72</v>
      </c>
      <c r="E158" s="5"/>
      <c r="F158" s="71">
        <f>IF(C158=hops!$B$2,0,find_c(C158,"hops","B2:B1000",2)/100)</f>
        <v>0</v>
      </c>
      <c r="G158" s="56"/>
      <c r="H158" s="77" t="s">
        <v>10</v>
      </c>
      <c r="I158" s="73" t="str">
        <f t="shared" si="5"/>
        <v>-</v>
      </c>
      <c r="O158" s="84">
        <f t="shared" si="4"/>
        <v>51</v>
      </c>
      <c r="P158" s="46">
        <v>39</v>
      </c>
      <c r="Q158" s="49">
        <v>83.93205631357921</v>
      </c>
      <c r="R158" s="18">
        <v>31.86041907363585</v>
      </c>
      <c r="S158" s="47">
        <v>3.2075246127849182</v>
      </c>
      <c r="T158" s="18">
        <v>100</v>
      </c>
      <c r="U158" s="51">
        <v>14.91577379351336</v>
      </c>
      <c r="Y158" s="53"/>
      <c r="Z158" s="53"/>
    </row>
    <row r="159" spans="2:26" x14ac:dyDescent="0.25">
      <c r="B159" s="67"/>
      <c r="C159" s="6" t="s">
        <v>11</v>
      </c>
      <c r="D159" s="7" t="s">
        <v>72</v>
      </c>
      <c r="E159" s="5"/>
      <c r="F159" s="71">
        <f>IF(C159=hops!$B$2,0,find_c(C159,"hops","B2:B1000",2)/100)</f>
        <v>0</v>
      </c>
      <c r="G159" s="56"/>
      <c r="H159" s="77" t="s">
        <v>10</v>
      </c>
      <c r="I159" s="73" t="str">
        <f t="shared" si="5"/>
        <v>-</v>
      </c>
      <c r="O159" s="84">
        <f t="shared" si="4"/>
        <v>50.75</v>
      </c>
      <c r="P159" s="46">
        <v>39.25</v>
      </c>
      <c r="Q159" s="49">
        <v>83.494560470044675</v>
      </c>
      <c r="R159" s="18">
        <v>32.222087119775125</v>
      </c>
      <c r="S159" s="47">
        <v>3.2833524101801714</v>
      </c>
      <c r="T159" s="18">
        <v>100</v>
      </c>
      <c r="U159" s="51">
        <v>15.085092305993923</v>
      </c>
      <c r="Y159" s="53"/>
      <c r="Z159" s="53"/>
    </row>
    <row r="160" spans="2:26" x14ac:dyDescent="0.25">
      <c r="B160" s="67"/>
      <c r="C160" s="6" t="s">
        <v>11</v>
      </c>
      <c r="D160" s="7" t="s">
        <v>72</v>
      </c>
      <c r="E160" s="5"/>
      <c r="F160" s="71">
        <f>IF(C160=hops!$B$2,0,find_c(C160,"hops","B2:B1000",2)/100)</f>
        <v>0</v>
      </c>
      <c r="G160" s="56"/>
      <c r="H160" s="77" t="s">
        <v>10</v>
      </c>
      <c r="I160" s="73" t="str">
        <f t="shared" si="5"/>
        <v>-</v>
      </c>
      <c r="O160" s="84">
        <f t="shared" si="4"/>
        <v>50.5</v>
      </c>
      <c r="P160" s="46">
        <v>39.5</v>
      </c>
      <c r="Q160" s="49">
        <v>83.059345073594571</v>
      </c>
      <c r="R160" s="18">
        <v>32.58061394888017</v>
      </c>
      <c r="S160" s="47">
        <v>3.3600409775252364</v>
      </c>
      <c r="T160" s="18">
        <v>100</v>
      </c>
      <c r="U160" s="51">
        <v>15.252940226307741</v>
      </c>
      <c r="Y160" s="53"/>
      <c r="Z160" s="53"/>
    </row>
    <row r="161" spans="2:26" x14ac:dyDescent="0.25">
      <c r="B161" s="67"/>
      <c r="C161" s="6" t="s">
        <v>11</v>
      </c>
      <c r="D161" s="7" t="s">
        <v>72</v>
      </c>
      <c r="E161" s="5"/>
      <c r="F161" s="71">
        <f>IF(C161=hops!$B$2,0,find_c(C161,"hops","B2:B1000",2)/100)</f>
        <v>0</v>
      </c>
      <c r="G161" s="56"/>
      <c r="H161" s="77" t="s">
        <v>10</v>
      </c>
      <c r="I161" s="73" t="str">
        <f t="shared" si="5"/>
        <v>-</v>
      </c>
      <c r="O161" s="84">
        <f t="shared" si="4"/>
        <v>50.25</v>
      </c>
      <c r="P161" s="46">
        <v>39.75</v>
      </c>
      <c r="Q161" s="49">
        <v>82.626398237398462</v>
      </c>
      <c r="R161" s="18">
        <v>32.936018923877945</v>
      </c>
      <c r="S161" s="47">
        <v>3.4375828387235714</v>
      </c>
      <c r="T161" s="18">
        <v>100</v>
      </c>
      <c r="U161" s="51">
        <v>15.4193266194027</v>
      </c>
      <c r="Y161" s="53"/>
      <c r="Z161" s="53"/>
    </row>
    <row r="162" spans="2:26" x14ac:dyDescent="0.25">
      <c r="B162" s="67"/>
      <c r="C162" s="6" t="s">
        <v>11</v>
      </c>
      <c r="D162" s="7" t="s">
        <v>72</v>
      </c>
      <c r="E162" s="5"/>
      <c r="F162" s="71">
        <f>IF(C162=hops!$B$2,0,find_c(C162,"hops","B2:B1000",2)/100)</f>
        <v>0</v>
      </c>
      <c r="G162" s="56"/>
      <c r="H162" s="77" t="s">
        <v>10</v>
      </c>
      <c r="I162" s="73" t="str">
        <f t="shared" si="5"/>
        <v>-</v>
      </c>
      <c r="O162" s="84">
        <f t="shared" si="4"/>
        <v>50</v>
      </c>
      <c r="P162" s="46">
        <v>40</v>
      </c>
      <c r="Q162" s="49">
        <v>82.19570813658602</v>
      </c>
      <c r="R162" s="18">
        <v>33.288321299651557</v>
      </c>
      <c r="S162" s="47">
        <v>3.515970563762401</v>
      </c>
      <c r="T162" s="18">
        <v>100</v>
      </c>
      <c r="U162" s="51">
        <v>15.584260499644872</v>
      </c>
      <c r="Y162" s="53"/>
      <c r="Z162" s="53"/>
    </row>
    <row r="163" spans="2:26" x14ac:dyDescent="0.25">
      <c r="B163" s="67"/>
      <c r="C163" s="6" t="s">
        <v>11</v>
      </c>
      <c r="D163" s="7" t="s">
        <v>72</v>
      </c>
      <c r="E163" s="5"/>
      <c r="F163" s="71">
        <f>IF(C163=hops!$B$2,0,find_c(C163,"hops","B2:B1000",2)/100)</f>
        <v>0</v>
      </c>
      <c r="G163" s="56"/>
      <c r="H163" s="77" t="s">
        <v>10</v>
      </c>
      <c r="I163" s="73" t="str">
        <f t="shared" si="5"/>
        <v>-</v>
      </c>
      <c r="O163" s="84">
        <f t="shared" si="4"/>
        <v>49.75</v>
      </c>
      <c r="P163" s="46">
        <v>40.25</v>
      </c>
      <c r="Q163" s="49">
        <v>81.767263007924072</v>
      </c>
      <c r="R163" s="18">
        <v>33.637540223620341</v>
      </c>
      <c r="S163" s="47">
        <v>3.5951967684555717</v>
      </c>
      <c r="T163" s="18">
        <v>100</v>
      </c>
      <c r="U163" s="51">
        <v>15.747750831090098</v>
      </c>
      <c r="Y163" s="53"/>
      <c r="Z163" s="53"/>
    </row>
    <row r="164" spans="2:26" x14ac:dyDescent="0.25">
      <c r="B164" s="67"/>
      <c r="C164" s="6" t="s">
        <v>11</v>
      </c>
      <c r="D164" s="7" t="s">
        <v>72</v>
      </c>
      <c r="E164" s="5"/>
      <c r="F164" s="71">
        <f>IF(C164=hops!$B$2,0,find_c(C164,"hops","B2:B1000",2)/100)</f>
        <v>0</v>
      </c>
      <c r="G164" s="56"/>
      <c r="H164" s="77" t="s">
        <v>10</v>
      </c>
      <c r="I164" s="73" t="str">
        <f t="shared" si="5"/>
        <v>-</v>
      </c>
      <c r="O164" s="84">
        <f t="shared" si="4"/>
        <v>49.5</v>
      </c>
      <c r="P164" s="46">
        <v>40.5</v>
      </c>
      <c r="Q164" s="49">
        <v>81.341051149495271</v>
      </c>
      <c r="R164" s="18">
        <v>33.983694736316934</v>
      </c>
      <c r="S164" s="47">
        <v>3.6752541141877879</v>
      </c>
      <c r="T164" s="18">
        <v>100</v>
      </c>
      <c r="U164" s="51">
        <v>15.909806527754135</v>
      </c>
      <c r="Y164" s="53"/>
      <c r="Z164" s="53"/>
    </row>
    <row r="165" spans="2:26" x14ac:dyDescent="0.25">
      <c r="B165" s="67"/>
      <c r="C165" s="6" t="s">
        <v>11</v>
      </c>
      <c r="D165" s="7" t="s">
        <v>72</v>
      </c>
      <c r="E165" s="5"/>
      <c r="F165" s="71">
        <f>IF(C165=hops!$B$2,0,find_c(C165,"hops","B2:B1000",2)/100)</f>
        <v>0</v>
      </c>
      <c r="G165" s="56"/>
      <c r="H165" s="77" t="s">
        <v>10</v>
      </c>
      <c r="I165" s="73" t="str">
        <f t="shared" si="5"/>
        <v>-</v>
      </c>
      <c r="O165" s="84">
        <f t="shared" si="4"/>
        <v>49.25</v>
      </c>
      <c r="P165" s="46">
        <v>40.75</v>
      </c>
      <c r="Q165" s="49">
        <v>80.917060920378532</v>
      </c>
      <c r="R165" s="18">
        <v>34.326803771961245</v>
      </c>
      <c r="S165" s="47">
        <v>3.7561353076602222</v>
      </c>
      <c r="T165" s="18">
        <v>100</v>
      </c>
      <c r="U165" s="51">
        <v>16.070436453881378</v>
      </c>
      <c r="Y165" s="53"/>
      <c r="Z165" s="53"/>
    </row>
    <row r="166" spans="2:26" x14ac:dyDescent="0.25">
      <c r="B166" s="67"/>
      <c r="C166" s="6" t="s">
        <v>11</v>
      </c>
      <c r="D166" s="7" t="s">
        <v>72</v>
      </c>
      <c r="E166" s="5"/>
      <c r="F166" s="71">
        <f>IF(C166=hops!$B$2,0,find_c(C166,"hops","B2:B1000",2)/100)</f>
        <v>0</v>
      </c>
      <c r="G166" s="56"/>
      <c r="H166" s="77" t="s">
        <v>10</v>
      </c>
      <c r="I166" s="73" t="str">
        <f t="shared" si="5"/>
        <v>-</v>
      </c>
      <c r="O166" s="84">
        <f t="shared" si="4"/>
        <v>49</v>
      </c>
      <c r="P166" s="46">
        <v>41</v>
      </c>
      <c r="Q166" s="49">
        <v>80.495280740331054</v>
      </c>
      <c r="R166" s="18">
        <v>34.666886159031449</v>
      </c>
      <c r="S166" s="47">
        <v>3.8378331006374902</v>
      </c>
      <c r="T166" s="18">
        <v>100</v>
      </c>
      <c r="U166" s="51">
        <v>16.229649424212163</v>
      </c>
      <c r="Y166" s="53"/>
      <c r="Z166" s="53"/>
    </row>
    <row r="167" spans="2:26" x14ac:dyDescent="0.25">
      <c r="B167" s="67"/>
      <c r="C167" s="6" t="s">
        <v>11</v>
      </c>
      <c r="D167" s="7" t="s">
        <v>72</v>
      </c>
      <c r="E167" s="5"/>
      <c r="F167" s="71">
        <f>IF(C167=hops!$B$2,0,find_c(C167,"hops","B2:B1000",2)/100)</f>
        <v>0</v>
      </c>
      <c r="G167" s="56"/>
      <c r="H167" s="77" t="s">
        <v>10</v>
      </c>
      <c r="I167" s="73" t="str">
        <f t="shared" si="5"/>
        <v>-</v>
      </c>
      <c r="O167" s="84">
        <f t="shared" si="4"/>
        <v>48.75</v>
      </c>
      <c r="P167" s="46">
        <v>41.25</v>
      </c>
      <c r="Q167" s="49">
        <v>80.075699089472081</v>
      </c>
      <c r="R167" s="18">
        <v>35.003960620831926</v>
      </c>
      <c r="S167" s="47">
        <v>3.9203402896959849</v>
      </c>
      <c r="T167" s="18">
        <v>100</v>
      </c>
      <c r="U167" s="51">
        <v>16.387454204248673</v>
      </c>
      <c r="Y167" s="53"/>
      <c r="Z167" s="53"/>
    </row>
    <row r="168" spans="2:26" x14ac:dyDescent="0.25">
      <c r="B168" s="67"/>
      <c r="C168" s="6" t="s">
        <v>11</v>
      </c>
      <c r="D168" s="7" t="s">
        <v>72</v>
      </c>
      <c r="E168" s="5"/>
      <c r="F168" s="71">
        <f>IF(C168=hops!$B$2,0,find_c(C168,"hops","B2:B1000",2)/100)</f>
        <v>0</v>
      </c>
      <c r="G168" s="56"/>
      <c r="H168" s="77" t="s">
        <v>10</v>
      </c>
      <c r="I168" s="73" t="str">
        <f t="shared" si="5"/>
        <v>-</v>
      </c>
      <c r="O168" s="84">
        <f t="shared" si="4"/>
        <v>48.5</v>
      </c>
      <c r="P168" s="46">
        <v>41.5</v>
      </c>
      <c r="Q168" s="49">
        <v>79.658304507968211</v>
      </c>
      <c r="R168" s="18">
        <v>35.338045776058216</v>
      </c>
      <c r="S168" s="47">
        <v>4.0036497159735651</v>
      </c>
      <c r="T168" s="18">
        <v>100</v>
      </c>
      <c r="U168" s="51">
        <v>16.543859510519415</v>
      </c>
      <c r="Y168" s="53"/>
      <c r="Z168" s="53"/>
    </row>
    <row r="169" spans="2:26" x14ac:dyDescent="0.25">
      <c r="B169" s="67"/>
      <c r="C169" s="6" t="s">
        <v>11</v>
      </c>
      <c r="D169" s="7" t="s">
        <v>72</v>
      </c>
      <c r="E169" s="5"/>
      <c r="F169" s="71">
        <f>IF(C169=hops!$B$2,0,find_c(C169,"hops","B2:B1000",2)/100)</f>
        <v>0</v>
      </c>
      <c r="G169" s="56"/>
      <c r="H169" s="77" t="s">
        <v>10</v>
      </c>
      <c r="I169" s="73" t="str">
        <f t="shared" si="5"/>
        <v>-</v>
      </c>
      <c r="O169" s="84">
        <f t="shared" si="4"/>
        <v>48.25</v>
      </c>
      <c r="P169" s="46">
        <v>41.75</v>
      </c>
      <c r="Q169" s="49">
        <v>79.24308559572043</v>
      </c>
      <c r="R169" s="18">
        <v>35.669160139358986</v>
      </c>
      <c r="S169" s="47">
        <v>4.0877542649205836</v>
      </c>
      <c r="T169" s="18">
        <v>100</v>
      </c>
      <c r="U169" s="51">
        <v>16.698874010842303</v>
      </c>
      <c r="Y169" s="53"/>
      <c r="Z169" s="53"/>
    </row>
    <row r="170" spans="2:26" x14ac:dyDescent="0.25">
      <c r="B170" s="67"/>
      <c r="C170" s="6" t="s">
        <v>11</v>
      </c>
      <c r="D170" s="7" t="s">
        <v>72</v>
      </c>
      <c r="E170" s="5"/>
      <c r="F170" s="71">
        <f>IF(C170=hops!$B$2,0,find_c(C170,"hops","B2:B1000",2)/100)</f>
        <v>0</v>
      </c>
      <c r="G170" s="56"/>
      <c r="H170" s="77" t="s">
        <v>10</v>
      </c>
      <c r="I170" s="73" t="str">
        <f t="shared" si="5"/>
        <v>-</v>
      </c>
      <c r="O170" s="84">
        <f t="shared" si="4"/>
        <v>48</v>
      </c>
      <c r="P170" s="46">
        <v>42</v>
      </c>
      <c r="Q170" s="49">
        <v>78.830031012052743</v>
      </c>
      <c r="R170" s="18">
        <v>35.997322121895003</v>
      </c>
      <c r="S170" s="47">
        <v>4.1726468660522578</v>
      </c>
      <c r="T170" s="18">
        <v>100</v>
      </c>
      <c r="U170" s="51">
        <v>16.852506324586365</v>
      </c>
      <c r="Y170" s="53"/>
      <c r="Z170" s="53"/>
    </row>
    <row r="171" spans="2:26" x14ac:dyDescent="0.25">
      <c r="B171" s="67"/>
      <c r="C171" s="6" t="s">
        <v>11</v>
      </c>
      <c r="D171" s="7" t="s">
        <v>72</v>
      </c>
      <c r="E171" s="5"/>
      <c r="F171" s="71">
        <f>IF(C171=hops!$B$2,0,find_c(C171,"hops","B2:B1000",2)/100)</f>
        <v>0</v>
      </c>
      <c r="G171" s="56"/>
      <c r="H171" s="77" t="s">
        <v>10</v>
      </c>
      <c r="I171" s="73" t="str">
        <f t="shared" si="5"/>
        <v>-</v>
      </c>
      <c r="O171" s="84">
        <f t="shared" si="4"/>
        <v>47.75</v>
      </c>
      <c r="P171" s="46">
        <v>42.25</v>
      </c>
      <c r="Q171" s="49">
        <v>78.419129475402414</v>
      </c>
      <c r="R171" s="18">
        <v>36.322550031895211</v>
      </c>
      <c r="S171" s="47">
        <v>4.2583204927023681</v>
      </c>
      <c r="T171" s="18">
        <v>100</v>
      </c>
      <c r="U171" s="51">
        <v>17.004765022932062</v>
      </c>
      <c r="Y171" s="53"/>
      <c r="Z171" s="53"/>
    </row>
    <row r="172" spans="2:26" x14ac:dyDescent="0.25">
      <c r="B172" s="67"/>
      <c r="C172" s="6" t="s">
        <v>11</v>
      </c>
      <c r="D172" s="7" t="s">
        <v>72</v>
      </c>
      <c r="E172" s="5"/>
      <c r="F172" s="71">
        <f>IF(C172=hops!$B$2,0,find_c(C172,"hops","B2:B1000",2)/100)</f>
        <v>0</v>
      </c>
      <c r="G172" s="56"/>
      <c r="H172" s="77" t="s">
        <v>10</v>
      </c>
      <c r="I172" s="73" t="str">
        <f t="shared" si="5"/>
        <v>-</v>
      </c>
      <c r="O172" s="84">
        <f t="shared" si="4"/>
        <v>47.5</v>
      </c>
      <c r="P172" s="46">
        <v>42.5</v>
      </c>
      <c r="Q172" s="49">
        <v>78.01036976301188</v>
      </c>
      <c r="R172" s="18">
        <v>36.644862075209836</v>
      </c>
      <c r="S172" s="47">
        <v>4.344768161778279</v>
      </c>
      <c r="T172" s="18">
        <v>100</v>
      </c>
      <c r="U172" s="51">
        <v>17.155658629130237</v>
      </c>
      <c r="Y172" s="53"/>
      <c r="Z172" s="53"/>
    </row>
    <row r="173" spans="2:26" x14ac:dyDescent="0.25">
      <c r="B173" s="67"/>
      <c r="C173" s="6" t="s">
        <v>11</v>
      </c>
      <c r="D173" s="7" t="s">
        <v>72</v>
      </c>
      <c r="E173" s="5"/>
      <c r="F173" s="71">
        <f>IF(C173=hops!$B$2,0,find_c(C173,"hops","B2:B1000",2)/100)</f>
        <v>0</v>
      </c>
      <c r="G173" s="56"/>
      <c r="H173" s="77" t="s">
        <v>10</v>
      </c>
      <c r="I173" s="73" t="str">
        <f t="shared" si="5"/>
        <v>-</v>
      </c>
      <c r="O173" s="84">
        <f t="shared" si="4"/>
        <v>47.25</v>
      </c>
      <c r="P173" s="46">
        <v>42.75</v>
      </c>
      <c r="Q173" s="49">
        <v>77.603740710622176</v>
      </c>
      <c r="R173" s="18">
        <v>36.964276355860534</v>
      </c>
      <c r="S173" s="47">
        <v>4.4319829335172782</v>
      </c>
      <c r="T173" s="18">
        <v>100</v>
      </c>
      <c r="U173" s="51">
        <v>17.305195618759669</v>
      </c>
      <c r="Y173" s="53"/>
      <c r="Z173" s="53"/>
    </row>
    <row r="174" spans="2:26" x14ac:dyDescent="0.25">
      <c r="B174" s="67"/>
      <c r="C174" s="6" t="s">
        <v>11</v>
      </c>
      <c r="D174" s="7" t="s">
        <v>72</v>
      </c>
      <c r="E174" s="5"/>
      <c r="F174" s="71">
        <f>IF(C174=hops!$B$2,0,find_c(C174,"hops","B2:B1000",2)/100)</f>
        <v>0</v>
      </c>
      <c r="G174" s="56"/>
      <c r="H174" s="77" t="s">
        <v>10</v>
      </c>
      <c r="I174" s="73" t="str">
        <f t="shared" si="5"/>
        <v>-</v>
      </c>
      <c r="O174" s="84">
        <f t="shared" si="4"/>
        <v>47</v>
      </c>
      <c r="P174" s="46">
        <v>43</v>
      </c>
      <c r="Q174" s="49">
        <v>77.199231212168058</v>
      </c>
      <c r="R174" s="18">
        <v>37.280810876587701</v>
      </c>
      <c r="S174" s="47">
        <v>4.5199579112442265</v>
      </c>
      <c r="T174" s="18">
        <v>100</v>
      </c>
      <c r="U174" s="51">
        <v>17.453384419983298</v>
      </c>
      <c r="Y174" s="53"/>
      <c r="Z174" s="53"/>
    </row>
    <row r="175" spans="2:26" x14ac:dyDescent="0.25">
      <c r="B175" s="67"/>
      <c r="C175" s="6" t="s">
        <v>11</v>
      </c>
      <c r="D175" s="7" t="s">
        <v>72</v>
      </c>
      <c r="E175" s="5"/>
      <c r="F175" s="71">
        <f>IF(C175=hops!$B$2,0,find_c(C175,"hops","B2:B1000",2)/100)</f>
        <v>0</v>
      </c>
      <c r="G175" s="56"/>
      <c r="H175" s="77" t="s">
        <v>10</v>
      </c>
      <c r="I175" s="73" t="str">
        <f t="shared" si="5"/>
        <v>-</v>
      </c>
      <c r="O175" s="84">
        <f t="shared" si="4"/>
        <v>46.75</v>
      </c>
      <c r="P175" s="46">
        <v>43.25</v>
      </c>
      <c r="Q175" s="49">
        <v>76.796830219474629</v>
      </c>
      <c r="R175" s="18">
        <v>37.594483539394844</v>
      </c>
      <c r="S175" s="47">
        <v>4.6086862411305054</v>
      </c>
      <c r="T175" s="18">
        <v>100</v>
      </c>
      <c r="U175" s="51">
        <v>17.600233413803089</v>
      </c>
      <c r="Y175" s="53"/>
      <c r="Z175" s="53"/>
    </row>
    <row r="176" spans="2:26" x14ac:dyDescent="0.25">
      <c r="B176" s="67"/>
      <c r="C176" s="6" t="s">
        <v>11</v>
      </c>
      <c r="D176" s="7" t="s">
        <v>72</v>
      </c>
      <c r="E176" s="5"/>
      <c r="F176" s="71">
        <f>IF(C176=hops!$B$2,0,find_c(C176,"hops","B2:B1000",2)/100)</f>
        <v>0</v>
      </c>
      <c r="G176" s="56"/>
      <c r="H176" s="77" t="s">
        <v>10</v>
      </c>
      <c r="I176" s="73" t="str">
        <f t="shared" si="5"/>
        <v>-</v>
      </c>
      <c r="O176" s="84">
        <f t="shared" si="4"/>
        <v>46.5</v>
      </c>
      <c r="P176" s="46">
        <v>43.5</v>
      </c>
      <c r="Q176" s="49">
        <v>76.396526741955611</v>
      </c>
      <c r="R176" s="18">
        <v>37.905312146090097</v>
      </c>
      <c r="S176" s="47">
        <v>4.6981611119542652</v>
      </c>
      <c r="T176" s="18">
        <v>100</v>
      </c>
      <c r="U176" s="51">
        <v>17.745750934313538</v>
      </c>
      <c r="Y176" s="53"/>
      <c r="Z176" s="53"/>
    </row>
    <row r="177" spans="2:26" x14ac:dyDescent="0.25">
      <c r="B177" s="67"/>
      <c r="C177" s="6" t="s">
        <v>11</v>
      </c>
      <c r="D177" s="7" t="s">
        <v>72</v>
      </c>
      <c r="E177" s="5"/>
      <c r="F177" s="71">
        <f>IF(C177=hops!$B$2,0,find_c(C177,"hops","B2:B1000",2)/100)</f>
        <v>0</v>
      </c>
      <c r="G177" s="56"/>
      <c r="H177" s="77" t="s">
        <v>10</v>
      </c>
      <c r="I177" s="73" t="str">
        <f t="shared" si="5"/>
        <v>-</v>
      </c>
      <c r="O177" s="84">
        <f t="shared" si="4"/>
        <v>46.25</v>
      </c>
      <c r="P177" s="46">
        <v>43.75</v>
      </c>
      <c r="Q177" s="49">
        <v>75.998309846313163</v>
      </c>
      <c r="R177" s="18">
        <v>38.213314398824842</v>
      </c>
      <c r="S177" s="47">
        <v>4.7883757548619599</v>
      </c>
      <c r="T177" s="18">
        <v>100</v>
      </c>
      <c r="U177" s="51">
        <v>17.889945268953838</v>
      </c>
      <c r="Y177" s="53"/>
      <c r="Z177" s="53"/>
    </row>
    <row r="178" spans="2:26" x14ac:dyDescent="0.25">
      <c r="B178" s="67"/>
      <c r="C178" s="6" t="s">
        <v>11</v>
      </c>
      <c r="D178" s="7" t="s">
        <v>72</v>
      </c>
      <c r="E178" s="5"/>
      <c r="F178" s="71">
        <f>IF(C178=hops!$B$2,0,find_c(C178,"hops","B2:B1000",2)/100)</f>
        <v>0</v>
      </c>
      <c r="G178" s="56"/>
      <c r="H178" s="77" t="s">
        <v>10</v>
      </c>
      <c r="I178" s="73" t="str">
        <f t="shared" si="5"/>
        <v>-</v>
      </c>
      <c r="O178" s="84">
        <f t="shared" si="4"/>
        <v>46</v>
      </c>
      <c r="P178" s="46">
        <v>44</v>
      </c>
      <c r="Q178" s="49">
        <v>75.602168656239257</v>
      </c>
      <c r="R178" s="18">
        <v>38.518507900629544</v>
      </c>
      <c r="S178" s="47">
        <v>4.8793234431311632</v>
      </c>
      <c r="T178" s="18">
        <v>100</v>
      </c>
      <c r="U178" s="51">
        <v>18.032824658758727</v>
      </c>
      <c r="Y178" s="53"/>
      <c r="Z178" s="53"/>
    </row>
    <row r="179" spans="2:26" x14ac:dyDescent="0.25">
      <c r="B179" s="67"/>
      <c r="C179" s="6" t="s">
        <v>11</v>
      </c>
      <c r="D179" s="7" t="s">
        <v>72</v>
      </c>
      <c r="E179" s="5"/>
      <c r="F179" s="71">
        <f>IF(C179=hops!$B$2,0,find_c(C179,"hops","B2:B1000",2)/100)</f>
        <v>0</v>
      </c>
      <c r="G179" s="56"/>
      <c r="H179" s="77" t="s">
        <v>10</v>
      </c>
      <c r="I179" s="73" t="str">
        <f t="shared" si="5"/>
        <v>-</v>
      </c>
      <c r="O179" s="84">
        <f t="shared" si="4"/>
        <v>45.75</v>
      </c>
      <c r="P179" s="46">
        <v>44.25</v>
      </c>
      <c r="Q179" s="49">
        <v>75.208092352118612</v>
      </c>
      <c r="R179" s="18">
        <v>38.820910155946692</v>
      </c>
      <c r="S179" s="47">
        <v>4.9709974919346616</v>
      </c>
      <c r="T179" s="18">
        <v>100</v>
      </c>
      <c r="U179" s="51">
        <v>18.174397298608003</v>
      </c>
      <c r="Y179" s="53"/>
      <c r="Z179" s="53"/>
    </row>
    <row r="180" spans="2:26" x14ac:dyDescent="0.25">
      <c r="B180" s="67"/>
      <c r="C180" s="6" t="s">
        <v>11</v>
      </c>
      <c r="D180" s="7" t="s">
        <v>72</v>
      </c>
      <c r="E180" s="5"/>
      <c r="F180" s="71">
        <f>IF(C180=hops!$B$2,0,find_c(C180,"hops","B2:B1000",2)/100)</f>
        <v>0</v>
      </c>
      <c r="G180" s="56"/>
      <c r="H180" s="77" t="s">
        <v>10</v>
      </c>
      <c r="I180" s="73" t="str">
        <f t="shared" si="5"/>
        <v>-</v>
      </c>
      <c r="O180" s="84">
        <f t="shared" si="4"/>
        <v>45.5</v>
      </c>
      <c r="P180" s="46">
        <v>44.5</v>
      </c>
      <c r="Q180" s="49">
        <v>74.816070170733198</v>
      </c>
      <c r="R180" s="18">
        <v>39.120538571160957</v>
      </c>
      <c r="S180" s="47">
        <v>5.0633912581058151</v>
      </c>
      <c r="T180" s="18">
        <v>100</v>
      </c>
      <c r="U180" s="51">
        <v>18.314671337474714</v>
      </c>
      <c r="Y180" s="53"/>
      <c r="Z180" s="53"/>
    </row>
    <row r="181" spans="2:26" x14ac:dyDescent="0.25">
      <c r="B181" s="67"/>
      <c r="C181" s="6" t="s">
        <v>11</v>
      </c>
      <c r="D181" s="7" t="s">
        <v>72</v>
      </c>
      <c r="E181" s="5"/>
      <c r="F181" s="71">
        <f>IF(C181=hops!$B$2,0,find_c(C181,"hops","B2:B1000",2)/100)</f>
        <v>0</v>
      </c>
      <c r="G181" s="56"/>
      <c r="H181" s="77" t="s">
        <v>10</v>
      </c>
      <c r="I181" s="73" t="str">
        <f t="shared" si="5"/>
        <v>-</v>
      </c>
      <c r="O181" s="84">
        <f t="shared" si="4"/>
        <v>45.25</v>
      </c>
      <c r="P181" s="46">
        <v>44.75</v>
      </c>
      <c r="Q181" s="49">
        <v>74.426091404968247</v>
      </c>
      <c r="R181" s="18">
        <v>39.417410455126536</v>
      </c>
      <c r="S181" s="47">
        <v>5.1564981399051781</v>
      </c>
      <c r="T181" s="18">
        <v>100</v>
      </c>
      <c r="U181" s="51">
        <v>18.45365487867204</v>
      </c>
      <c r="Y181" s="53"/>
      <c r="Z181" s="53"/>
    </row>
    <row r="182" spans="2:26" x14ac:dyDescent="0.25">
      <c r="B182" s="67"/>
      <c r="C182" s="6" t="s">
        <v>11</v>
      </c>
      <c r="D182" s="7" t="s">
        <v>72</v>
      </c>
      <c r="E182" s="5"/>
      <c r="F182" s="71">
        <f>IF(C182=hops!$B$2,0,find_c(C182,"hops","B2:B1000",2)/100)</f>
        <v>0</v>
      </c>
      <c r="G182" s="56"/>
      <c r="H182" s="77" t="s">
        <v>10</v>
      </c>
      <c r="I182" s="73" t="str">
        <f t="shared" si="5"/>
        <v>-</v>
      </c>
      <c r="O182" s="84">
        <f t="shared" si="4"/>
        <v>45</v>
      </c>
      <c r="P182" s="46">
        <v>45</v>
      </c>
      <c r="Q182" s="49">
        <v>74.038145403519849</v>
      </c>
      <c r="R182" s="18">
        <v>39.711543019691732</v>
      </c>
      <c r="S182" s="47">
        <v>5.2503115767883797</v>
      </c>
      <c r="T182" s="18">
        <v>100</v>
      </c>
      <c r="U182" s="51">
        <v>18.591355980098882</v>
      </c>
      <c r="Y182" s="53"/>
      <c r="Z182" s="53"/>
    </row>
    <row r="183" spans="2:26" x14ac:dyDescent="0.25">
      <c r="B183" s="67"/>
      <c r="C183" s="6" t="s">
        <v>11</v>
      </c>
      <c r="D183" s="7" t="s">
        <v>72</v>
      </c>
      <c r="E183" s="5"/>
      <c r="F183" s="71">
        <f>IF(C183=hops!$B$2,0,find_c(C183,"hops","B2:B1000",2)/100)</f>
        <v>0</v>
      </c>
      <c r="G183" s="56"/>
      <c r="H183" s="77" t="s">
        <v>10</v>
      </c>
      <c r="I183" s="73" t="str">
        <f t="shared" si="5"/>
        <v>-</v>
      </c>
      <c r="O183" s="84">
        <f t="shared" si="4"/>
        <v>44.75</v>
      </c>
      <c r="P183" s="46">
        <v>45.25</v>
      </c>
      <c r="Q183" s="49">
        <v>73.652221570603999</v>
      </c>
      <c r="R183" s="18">
        <v>40.002953380220717</v>
      </c>
      <c r="S183" s="47">
        <v>5.3448250491752463</v>
      </c>
      <c r="T183" s="18">
        <v>100</v>
      </c>
      <c r="U183" s="51">
        <v>18.72778265448413</v>
      </c>
      <c r="Y183" s="53"/>
      <c r="Z183" s="53"/>
    </row>
    <row r="184" spans="2:26" x14ac:dyDescent="0.25">
      <c r="B184" s="67"/>
      <c r="C184" s="6" t="s">
        <v>11</v>
      </c>
      <c r="D184" s="7" t="s">
        <v>72</v>
      </c>
      <c r="E184" s="5"/>
      <c r="F184" s="71">
        <f>IF(C184=hops!$B$2,0,find_c(C184,"hops","B2:B1000",2)/100)</f>
        <v>0</v>
      </c>
      <c r="G184" s="56"/>
      <c r="H184" s="77" t="s">
        <v>10</v>
      </c>
      <c r="I184" s="73" t="str">
        <f t="shared" si="5"/>
        <v>-</v>
      </c>
      <c r="O184" s="84">
        <f t="shared" si="4"/>
        <v>44.5</v>
      </c>
      <c r="P184" s="46">
        <v>45.5</v>
      </c>
      <c r="Q184" s="49">
        <v>73.268309365667221</v>
      </c>
      <c r="R184" s="18">
        <v>40.291658556112559</v>
      </c>
      <c r="S184" s="47">
        <v>5.4400320782201712</v>
      </c>
      <c r="T184" s="18">
        <v>100</v>
      </c>
      <c r="U184" s="51">
        <v>18.862942869629656</v>
      </c>
      <c r="Y184" s="53"/>
      <c r="Z184" s="53"/>
    </row>
    <row r="185" spans="2:26" x14ac:dyDescent="0.25">
      <c r="B185" s="67"/>
      <c r="C185" s="6" t="s">
        <v>11</v>
      </c>
      <c r="D185" s="7" t="s">
        <v>72</v>
      </c>
      <c r="E185" s="5"/>
      <c r="F185" s="71">
        <f>IF(C185=hops!$B$2,0,find_c(C185,"hops","B2:B1000",2)/100)</f>
        <v>0</v>
      </c>
      <c r="G185" s="56"/>
      <c r="H185" s="77" t="s">
        <v>10</v>
      </c>
      <c r="I185" s="73" t="str">
        <f t="shared" si="5"/>
        <v>-</v>
      </c>
      <c r="O185" s="84">
        <f t="shared" si="4"/>
        <v>44.25</v>
      </c>
      <c r="P185" s="46">
        <v>45.75</v>
      </c>
      <c r="Q185" s="49">
        <v>72.886398303098687</v>
      </c>
      <c r="R185" s="18">
        <v>40.577675471317555</v>
      </c>
      <c r="S185" s="47">
        <v>5.5359262255837187</v>
      </c>
      <c r="T185" s="18">
        <v>100</v>
      </c>
      <c r="U185" s="51">
        <v>18.996844548652028</v>
      </c>
      <c r="Y185" s="53"/>
      <c r="Z185" s="53"/>
    </row>
    <row r="186" spans="2:26" x14ac:dyDescent="0.25">
      <c r="B186" s="67"/>
      <c r="C186" s="6" t="s">
        <v>11</v>
      </c>
      <c r="D186" s="7" t="s">
        <v>72</v>
      </c>
      <c r="E186" s="5"/>
      <c r="F186" s="71">
        <f>IF(C186=hops!$B$2,0,find_c(C186,"hops","B2:B1000",2)/100)</f>
        <v>0</v>
      </c>
      <c r="G186" s="56"/>
      <c r="H186" s="77" t="s">
        <v>10</v>
      </c>
      <c r="I186" s="73" t="str">
        <f t="shared" si="5"/>
        <v>-</v>
      </c>
      <c r="O186" s="84">
        <f t="shared" si="4"/>
        <v>44</v>
      </c>
      <c r="P186" s="46">
        <v>46</v>
      </c>
      <c r="Q186" s="49">
        <v>72.506477951943779</v>
      </c>
      <c r="R186" s="18">
        <v>40.861020954850723</v>
      </c>
      <c r="S186" s="47">
        <v>5.6325010932054544</v>
      </c>
      <c r="T186" s="18">
        <v>100</v>
      </c>
      <c r="U186" s="51">
        <v>19.129495570222915</v>
      </c>
      <c r="Y186" s="53"/>
      <c r="Z186" s="53"/>
    </row>
    <row r="187" spans="2:26" x14ac:dyDescent="0.25">
      <c r="B187" s="67"/>
      <c r="C187" s="6" t="s">
        <v>11</v>
      </c>
      <c r="D187" s="7" t="s">
        <v>72</v>
      </c>
      <c r="E187" s="5"/>
      <c r="F187" s="71">
        <f>IF(C187=hops!$B$2,0,find_c(C187,"hops","B2:B1000",2)/100)</f>
        <v>0</v>
      </c>
      <c r="G187" s="56"/>
      <c r="H187" s="77" t="s">
        <v>10</v>
      </c>
      <c r="I187" s="73" t="str">
        <f t="shared" si="5"/>
        <v>-</v>
      </c>
      <c r="O187" s="84">
        <f t="shared" si="4"/>
        <v>43.75</v>
      </c>
      <c r="P187" s="46">
        <v>46.25</v>
      </c>
      <c r="Q187" s="49">
        <v>72.128537935619278</v>
      </c>
      <c r="R187" s="18">
        <v>41.141711741302686</v>
      </c>
      <c r="S187" s="47">
        <v>5.7297503230779991</v>
      </c>
      <c r="T187" s="18">
        <v>100</v>
      </c>
      <c r="U187" s="51">
        <v>19.260903768808266</v>
      </c>
      <c r="Y187" s="53"/>
      <c r="Z187" s="53"/>
    </row>
    <row r="188" spans="2:26" x14ac:dyDescent="0.25">
      <c r="B188" s="67"/>
      <c r="C188" s="6" t="s">
        <v>11</v>
      </c>
      <c r="D188" s="7" t="s">
        <v>72</v>
      </c>
      <c r="E188" s="5"/>
      <c r="F188" s="71">
        <f>IF(C188=hops!$B$2,0,find_c(C188,"hops","B2:B1000",2)/100)</f>
        <v>0</v>
      </c>
      <c r="G188" s="56"/>
      <c r="H188" s="77" t="s">
        <v>10</v>
      </c>
      <c r="I188" s="73" t="str">
        <f t="shared" si="5"/>
        <v>-</v>
      </c>
      <c r="O188" s="84">
        <f t="shared" si="4"/>
        <v>43.5</v>
      </c>
      <c r="P188" s="46">
        <v>46.5</v>
      </c>
      <c r="Q188" s="49">
        <v>71.752567931629869</v>
      </c>
      <c r="R188" s="18">
        <v>41.419764471347804</v>
      </c>
      <c r="S188" s="47">
        <v>5.8276675970223</v>
      </c>
      <c r="T188" s="18">
        <v>100</v>
      </c>
      <c r="U188" s="51">
        <v>19.391076934906188</v>
      </c>
      <c r="Y188" s="53"/>
      <c r="Z188" s="53"/>
    </row>
    <row r="189" spans="2:26" x14ac:dyDescent="0.25">
      <c r="B189" s="67"/>
      <c r="C189" s="6" t="s">
        <v>11</v>
      </c>
      <c r="D189" s="7" t="s">
        <v>72</v>
      </c>
      <c r="E189" s="5"/>
      <c r="F189" s="71">
        <f>IF(C189=hops!$B$2,0,find_c(C189,"hops","B2:B1000",2)/100)</f>
        <v>0</v>
      </c>
      <c r="G189" s="56"/>
      <c r="H189" s="77" t="s">
        <v>10</v>
      </c>
      <c r="I189" s="73" t="str">
        <f t="shared" si="5"/>
        <v>-</v>
      </c>
      <c r="O189" s="84">
        <f t="shared" si="4"/>
        <v>43.25</v>
      </c>
      <c r="P189" s="46">
        <v>46.75</v>
      </c>
      <c r="Q189" s="49">
        <v>71.378557671286245</v>
      </c>
      <c r="R189" s="18">
        <v>41.695195692249619</v>
      </c>
      <c r="S189" s="47">
        <v>5.926246636464108</v>
      </c>
      <c r="T189" s="18">
        <v>100</v>
      </c>
      <c r="U189" s="51">
        <v>19.520022815283578</v>
      </c>
      <c r="Y189" s="53"/>
      <c r="Z189" s="53"/>
    </row>
    <row r="190" spans="2:26" x14ac:dyDescent="0.25">
      <c r="B190" s="67"/>
      <c r="C190" s="6" t="s">
        <v>11</v>
      </c>
      <c r="D190" s="7" t="s">
        <v>72</v>
      </c>
      <c r="E190" s="5"/>
      <c r="F190" s="71">
        <f>IF(C190=hops!$B$2,0,find_c(C190,"hops","B2:B1000",2)/100)</f>
        <v>0</v>
      </c>
      <c r="G190" s="56"/>
      <c r="H190" s="77" t="s">
        <v>10</v>
      </c>
      <c r="I190" s="73" t="str">
        <f t="shared" si="5"/>
        <v>-</v>
      </c>
      <c r="O190" s="84">
        <f t="shared" si="4"/>
        <v>43</v>
      </c>
      <c r="P190" s="46">
        <v>47</v>
      </c>
      <c r="Q190" s="49">
        <v>71.006496939424665</v>
      </c>
      <c r="R190" s="18">
        <v>41.968021858363649</v>
      </c>
      <c r="S190" s="47">
        <v>6.0254812022116617</v>
      </c>
      <c r="T190" s="18">
        <v>100</v>
      </c>
      <c r="U190" s="51">
        <v>19.647749113211525</v>
      </c>
      <c r="Y190" s="53"/>
      <c r="Z190" s="53"/>
    </row>
    <row r="191" spans="2:26" x14ac:dyDescent="0.25">
      <c r="B191" s="67"/>
      <c r="C191" s="6" t="s">
        <v>11</v>
      </c>
      <c r="D191" s="7" t="s">
        <v>72</v>
      </c>
      <c r="E191" s="5"/>
      <c r="F191" s="71">
        <f>IF(C191=hops!$B$2,0,find_c(C191,"hops","B2:B1000",2)/100)</f>
        <v>0</v>
      </c>
      <c r="G191" s="56"/>
      <c r="H191" s="77" t="s">
        <v>10</v>
      </c>
      <c r="I191" s="73" t="str">
        <f t="shared" si="5"/>
        <v>-</v>
      </c>
      <c r="O191" s="84">
        <f t="shared" si="4"/>
        <v>42.75</v>
      </c>
      <c r="P191" s="46">
        <v>47.25</v>
      </c>
      <c r="Q191" s="49">
        <v>70.636375574127911</v>
      </c>
      <c r="R191" s="18">
        <v>42.238259331637494</v>
      </c>
      <c r="S191" s="47">
        <v>6.1253650942345672</v>
      </c>
      <c r="T191" s="18">
        <v>100</v>
      </c>
      <c r="U191" s="51">
        <v>19.774263488699408</v>
      </c>
      <c r="Y191" s="53"/>
      <c r="Z191" s="53"/>
    </row>
    <row r="192" spans="2:26" x14ac:dyDescent="0.25">
      <c r="B192" s="67"/>
      <c r="C192" s="6" t="s">
        <v>11</v>
      </c>
      <c r="D192" s="7" t="s">
        <v>72</v>
      </c>
      <c r="E192" s="5"/>
      <c r="F192" s="71">
        <f>IF(C192=hops!$B$2,0,find_c(C192,"hops","B2:B1000",2)/100)</f>
        <v>0</v>
      </c>
      <c r="G192" s="56"/>
      <c r="H192" s="77" t="s">
        <v>10</v>
      </c>
      <c r="I192" s="73" t="str">
        <f t="shared" si="5"/>
        <v>-</v>
      </c>
      <c r="O192" s="84">
        <f t="shared" si="4"/>
        <v>42.5</v>
      </c>
      <c r="P192" s="46">
        <v>47.5</v>
      </c>
      <c r="Q192" s="49">
        <v>70.268183466447766</v>
      </c>
      <c r="R192" s="18">
        <v>42.50592438210834</v>
      </c>
      <c r="S192" s="47">
        <v>6.2258921514438645</v>
      </c>
      <c r="T192" s="18">
        <v>100</v>
      </c>
      <c r="U192" s="51">
        <v>19.899573558727838</v>
      </c>
      <c r="Y192" s="53"/>
      <c r="Z192" s="53"/>
    </row>
    <row r="193" spans="2:26" x14ac:dyDescent="0.25">
      <c r="B193" s="67"/>
      <c r="C193" s="6" t="s">
        <v>11</v>
      </c>
      <c r="D193" s="7" t="s">
        <v>72</v>
      </c>
      <c r="E193" s="5"/>
      <c r="F193" s="71">
        <f>IF(C193=hops!$B$2,0,find_c(C193,"hops","B2:B1000",2)/100)</f>
        <v>0</v>
      </c>
      <c r="G193" s="56"/>
      <c r="H193" s="77" t="s">
        <v>10</v>
      </c>
      <c r="I193" s="73" t="str">
        <f t="shared" si="5"/>
        <v>-</v>
      </c>
      <c r="O193" s="84">
        <f t="shared" si="4"/>
        <v>42.25</v>
      </c>
      <c r="P193" s="46">
        <v>47.75</v>
      </c>
      <c r="Q193" s="49">
        <v>69.901910560128911</v>
      </c>
      <c r="R193" s="18">
        <v>42.771033188397787</v>
      </c>
      <c r="S193" s="47">
        <v>6.327056251473282</v>
      </c>
      <c r="T193" s="18">
        <v>100</v>
      </c>
      <c r="U193" s="51">
        <v>20.023686897480307</v>
      </c>
      <c r="Y193" s="53"/>
      <c r="Z193" s="53"/>
    </row>
    <row r="194" spans="2:26" x14ac:dyDescent="0.25">
      <c r="B194" s="67"/>
      <c r="C194" s="6" t="s">
        <v>11</v>
      </c>
      <c r="D194" s="7" t="s">
        <v>72</v>
      </c>
      <c r="E194" s="5"/>
      <c r="F194" s="71">
        <f>IF(C194=hops!$B$2,0,find_c(C194,"hops","B2:B1000",2)/100)</f>
        <v>0</v>
      </c>
      <c r="G194" s="56"/>
      <c r="H194" s="77" t="s">
        <v>10</v>
      </c>
      <c r="I194" s="73" t="str">
        <f t="shared" si="5"/>
        <v>-</v>
      </c>
      <c r="O194" s="84">
        <f t="shared" si="4"/>
        <v>42</v>
      </c>
      <c r="P194" s="46">
        <v>48</v>
      </c>
      <c r="Q194" s="49">
        <v>69.537546851334241</v>
      </c>
      <c r="R194" s="18">
        <v>43.033601838204071</v>
      </c>
      <c r="S194" s="47">
        <v>6.4288513104616687</v>
      </c>
      <c r="T194" s="18">
        <v>100</v>
      </c>
      <c r="U194" s="51">
        <v>20.146611036573621</v>
      </c>
      <c r="Y194" s="53"/>
      <c r="Z194" s="53"/>
    </row>
    <row r="195" spans="2:26" x14ac:dyDescent="0.25">
      <c r="B195" s="67"/>
      <c r="C195" s="6" t="s">
        <v>11</v>
      </c>
      <c r="D195" s="7" t="s">
        <v>72</v>
      </c>
      <c r="E195" s="5"/>
      <c r="F195" s="71">
        <f>IF(C195=hops!$B$2,0,find_c(C195,"hops","B2:B1000",2)/100)</f>
        <v>0</v>
      </c>
      <c r="G195" s="56"/>
      <c r="H195" s="77" t="s">
        <v>10</v>
      </c>
      <c r="I195" s="73" t="str">
        <f t="shared" si="5"/>
        <v>-</v>
      </c>
      <c r="O195" s="84">
        <f t="shared" ref="O195:O258" si="6">90-P195</f>
        <v>41.75</v>
      </c>
      <c r="P195" s="46">
        <v>48.25</v>
      </c>
      <c r="Q195" s="49">
        <v>69.175082388371663</v>
      </c>
      <c r="R195" s="18">
        <v>43.293646328791723</v>
      </c>
      <c r="S195" s="47">
        <v>6.5312712828365944</v>
      </c>
      <c r="T195" s="18">
        <v>100</v>
      </c>
      <c r="U195" s="51">
        <v>20.268353465287134</v>
      </c>
      <c r="Y195" s="53"/>
      <c r="Z195" s="53"/>
    </row>
    <row r="196" spans="2:26" x14ac:dyDescent="0.25">
      <c r="B196" s="67"/>
      <c r="C196" s="6" t="s">
        <v>11</v>
      </c>
      <c r="D196" s="7" t="s">
        <v>72</v>
      </c>
      <c r="E196" s="5"/>
      <c r="F196" s="71">
        <f>IF(C196=hops!$B$2,0,find_c(C196,"hops","B2:B1000",2)/100)</f>
        <v>0</v>
      </c>
      <c r="G196" s="56"/>
      <c r="H196" s="77" t="s">
        <v>10</v>
      </c>
      <c r="I196" s="73" t="str">
        <f t="shared" si="5"/>
        <v>-</v>
      </c>
      <c r="O196" s="84">
        <f t="shared" si="6"/>
        <v>41.5</v>
      </c>
      <c r="P196" s="46">
        <v>48.5</v>
      </c>
      <c r="Q196" s="49">
        <v>68.814507271422272</v>
      </c>
      <c r="R196" s="18">
        <v>43.551182567478584</v>
      </c>
      <c r="S196" s="47">
        <v>6.6343101610991191</v>
      </c>
      <c r="T196" s="18">
        <v>100</v>
      </c>
      <c r="U196" s="51">
        <v>20.388921630790772</v>
      </c>
      <c r="Y196" s="53"/>
      <c r="Z196" s="53"/>
    </row>
    <row r="197" spans="2:26" x14ac:dyDescent="0.25">
      <c r="B197" s="67"/>
      <c r="C197" s="6" t="s">
        <v>11</v>
      </c>
      <c r="D197" s="7" t="s">
        <v>72</v>
      </c>
      <c r="E197" s="5"/>
      <c r="F197" s="71">
        <f>IF(C197=hops!$B$2,0,find_c(C197,"hops","B2:B1000",2)/100)</f>
        <v>0</v>
      </c>
      <c r="G197" s="56"/>
      <c r="H197" s="77" t="s">
        <v>10</v>
      </c>
      <c r="I197" s="73" t="str">
        <f t="shared" si="5"/>
        <v>-</v>
      </c>
      <c r="O197" s="84">
        <f t="shared" si="6"/>
        <v>41.25</v>
      </c>
      <c r="P197" s="46">
        <v>48.75</v>
      </c>
      <c r="Q197" s="49">
        <v>68.455811652269986</v>
      </c>
      <c r="R197" s="18">
        <v>43.806226372120271</v>
      </c>
      <c r="S197" s="47">
        <v>6.7379619756097178</v>
      </c>
      <c r="T197" s="18">
        <v>100</v>
      </c>
      <c r="U197" s="51">
        <v>20.508322938371826</v>
      </c>
      <c r="Y197" s="53"/>
      <c r="Z197" s="53"/>
    </row>
    <row r="198" spans="2:26" x14ac:dyDescent="0.25">
      <c r="B198" s="67"/>
      <c r="C198" s="6" t="s">
        <v>11</v>
      </c>
      <c r="D198" s="7" t="s">
        <v>72</v>
      </c>
      <c r="E198" s="5"/>
      <c r="F198" s="71">
        <f>IF(C198=hops!$B$2,0,find_c(C198,"hops","B2:B1000",2)/100)</f>
        <v>0</v>
      </c>
      <c r="G198" s="56"/>
      <c r="H198" s="77" t="s">
        <v>10</v>
      </c>
      <c r="I198" s="73" t="str">
        <f t="shared" ref="I198:I261" si="7">IF((H198)="-","-",H198/$K$13)</f>
        <v>-</v>
      </c>
      <c r="O198" s="84">
        <f t="shared" si="6"/>
        <v>41</v>
      </c>
      <c r="P198" s="46">
        <v>49</v>
      </c>
      <c r="Q198" s="49">
        <v>68.098985734032524</v>
      </c>
      <c r="R198" s="18">
        <v>44.058793471592082</v>
      </c>
      <c r="S198" s="47">
        <v>6.8422207943753639</v>
      </c>
      <c r="T198" s="18">
        <v>100</v>
      </c>
      <c r="U198" s="51">
        <v>20.626564751660549</v>
      </c>
      <c r="Y198" s="53"/>
      <c r="Z198" s="53"/>
    </row>
    <row r="199" spans="2:26" x14ac:dyDescent="0.25">
      <c r="B199" s="67"/>
      <c r="C199" s="6" t="s">
        <v>11</v>
      </c>
      <c r="D199" s="7" t="s">
        <v>72</v>
      </c>
      <c r="E199" s="5"/>
      <c r="F199" s="71">
        <f>IF(C199=hops!$B$2,0,find_c(C199,"hops","B2:B1000",2)/100)</f>
        <v>0</v>
      </c>
      <c r="G199" s="56"/>
      <c r="H199" s="77" t="s">
        <v>10</v>
      </c>
      <c r="I199" s="73" t="str">
        <f t="shared" si="7"/>
        <v>-</v>
      </c>
      <c r="O199" s="84">
        <f t="shared" si="6"/>
        <v>40.75</v>
      </c>
      <c r="P199" s="46">
        <v>49.25</v>
      </c>
      <c r="Q199" s="49">
        <v>67.744019770893885</v>
      </c>
      <c r="R199" s="18">
        <v>44.30889950626834</v>
      </c>
      <c r="S199" s="47">
        <v>6.9470807228377529</v>
      </c>
      <c r="T199" s="18">
        <v>100</v>
      </c>
      <c r="U199" s="51">
        <v>20.743654392854584</v>
      </c>
      <c r="Y199" s="53"/>
      <c r="Z199" s="53"/>
    </row>
    <row r="200" spans="2:26" x14ac:dyDescent="0.25">
      <c r="B200" s="67"/>
      <c r="C200" s="6" t="s">
        <v>11</v>
      </c>
      <c r="D200" s="7" t="s">
        <v>72</v>
      </c>
      <c r="E200" s="5"/>
      <c r="F200" s="71">
        <f>IF(C200=hops!$B$2,0,find_c(C200,"hops","B2:B1000",2)/100)</f>
        <v>0</v>
      </c>
      <c r="G200" s="56"/>
      <c r="H200" s="77" t="s">
        <v>10</v>
      </c>
      <c r="I200" s="73" t="str">
        <f t="shared" si="7"/>
        <v>-</v>
      </c>
      <c r="O200" s="84">
        <f t="shared" si="6"/>
        <v>40.5</v>
      </c>
      <c r="P200" s="46">
        <v>49.5</v>
      </c>
      <c r="Q200" s="49">
        <v>67.390904067838107</v>
      </c>
      <c r="R200" s="18">
        <v>44.556560028499206</v>
      </c>
      <c r="S200" s="47">
        <v>7.0525359036626716</v>
      </c>
      <c r="T200" s="18">
        <v>100</v>
      </c>
      <c r="U200" s="51">
        <v>20.859599142942191</v>
      </c>
      <c r="Y200" s="53"/>
      <c r="Z200" s="53"/>
    </row>
    <row r="201" spans="2:26" x14ac:dyDescent="0.25">
      <c r="B201" s="67"/>
      <c r="C201" s="6" t="s">
        <v>11</v>
      </c>
      <c r="D201" s="7" t="s">
        <v>72</v>
      </c>
      <c r="E201" s="5"/>
      <c r="F201" s="71">
        <f>IF(C201=hops!$B$2,0,find_c(C201,"hops","B2:B1000",2)/100)</f>
        <v>0</v>
      </c>
      <c r="G201" s="56"/>
      <c r="H201" s="78" t="s">
        <v>10</v>
      </c>
      <c r="I201" s="73" t="str">
        <f t="shared" si="7"/>
        <v>-</v>
      </c>
      <c r="O201" s="84">
        <f t="shared" si="6"/>
        <v>40.25</v>
      </c>
      <c r="P201" s="46">
        <v>49.75</v>
      </c>
      <c r="Q201" s="49">
        <v>67.039628980384506</v>
      </c>
      <c r="R201" s="18">
        <v>44.801790503084987</v>
      </c>
      <c r="S201" s="47">
        <v>7.1585805165304999</v>
      </c>
      <c r="T201" s="18">
        <v>100</v>
      </c>
      <c r="U201" s="51">
        <v>20.974406241924267</v>
      </c>
      <c r="Y201" s="53"/>
      <c r="Z201" s="53"/>
    </row>
    <row r="202" spans="2:26" x14ac:dyDescent="0.25">
      <c r="B202" s="67"/>
      <c r="C202" s="6" t="s">
        <v>11</v>
      </c>
      <c r="D202" s="7" t="s">
        <v>72</v>
      </c>
      <c r="E202" s="5"/>
      <c r="F202" s="71">
        <f>IF(C202=hops!$B$2,0,find_c(C202,"hops","B2:B1000",2)/100)</f>
        <v>0</v>
      </c>
      <c r="G202" s="56"/>
      <c r="H202" s="78" t="s">
        <v>10</v>
      </c>
      <c r="I202" s="73" t="str">
        <f t="shared" si="7"/>
        <v>-</v>
      </c>
      <c r="O202" s="84">
        <f t="shared" si="6"/>
        <v>40</v>
      </c>
      <c r="P202" s="46">
        <v>50</v>
      </c>
      <c r="Q202" s="49">
        <v>66.690184914324249</v>
      </c>
      <c r="R202" s="18">
        <v>45.044606307747905</v>
      </c>
      <c r="S202" s="47">
        <v>7.2652087779278425</v>
      </c>
      <c r="T202" s="18">
        <v>100</v>
      </c>
      <c r="U202" s="51">
        <v>21.08808288903526</v>
      </c>
      <c r="Y202" s="53"/>
      <c r="Z202" s="53"/>
    </row>
    <row r="203" spans="2:26" x14ac:dyDescent="0.25">
      <c r="B203" s="67"/>
      <c r="C203" s="6" t="s">
        <v>11</v>
      </c>
      <c r="D203" s="7" t="s">
        <v>72</v>
      </c>
      <c r="E203" s="5"/>
      <c r="F203" s="71">
        <f>IF(C203=hops!$B$2,0,find_c(C203,"hops","B2:B1000",2)/100)</f>
        <v>0</v>
      </c>
      <c r="G203" s="56"/>
      <c r="H203" s="78" t="s">
        <v>10</v>
      </c>
      <c r="I203" s="73" t="str">
        <f t="shared" si="7"/>
        <v>-</v>
      </c>
      <c r="O203" s="84">
        <f t="shared" si="6"/>
        <v>39.75</v>
      </c>
      <c r="P203" s="46">
        <v>50.25</v>
      </c>
      <c r="Q203" s="49">
        <v>66.342562325458331</v>
      </c>
      <c r="R203" s="18">
        <v>45.28502273360138</v>
      </c>
      <c r="S203" s="47">
        <v>7.3724149409402822</v>
      </c>
      <c r="T203" s="18">
        <v>100</v>
      </c>
      <c r="U203" s="51">
        <v>21.200636242962823</v>
      </c>
      <c r="Y203" s="53"/>
      <c r="Z203" s="53"/>
    </row>
    <row r="204" spans="2:26" x14ac:dyDescent="0.25">
      <c r="B204" s="67"/>
      <c r="C204" s="6" t="s">
        <v>11</v>
      </c>
      <c r="D204" s="7" t="s">
        <v>72</v>
      </c>
      <c r="E204" s="5"/>
      <c r="F204" s="71">
        <f>IF(C204=hops!$B$2,0,find_c(C204,"hops","B2:B1000",2)/100)</f>
        <v>0</v>
      </c>
      <c r="G204" s="56"/>
      <c r="H204" s="78" t="s">
        <v>10</v>
      </c>
      <c r="I204" s="73" t="str">
        <f t="shared" si="7"/>
        <v>-</v>
      </c>
      <c r="O204" s="84">
        <f t="shared" si="6"/>
        <v>39.5</v>
      </c>
      <c r="P204" s="46">
        <v>50.5</v>
      </c>
      <c r="Q204" s="49">
        <v>65.996751719336885</v>
      </c>
      <c r="R204" s="18">
        <v>45.523054985616859</v>
      </c>
      <c r="S204" s="47">
        <v>7.4801932950462531</v>
      </c>
      <c r="T204" s="18">
        <v>100</v>
      </c>
      <c r="U204" s="51">
        <v>21.312073422066387</v>
      </c>
      <c r="Y204" s="53"/>
      <c r="Z204" s="53"/>
    </row>
    <row r="205" spans="2:26" x14ac:dyDescent="0.25">
      <c r="B205" s="67"/>
      <c r="C205" s="6" t="s">
        <v>11</v>
      </c>
      <c r="D205" s="7" t="s">
        <v>72</v>
      </c>
      <c r="E205" s="5"/>
      <c r="F205" s="71">
        <f>IF(C205=hops!$B$2,0,find_c(C205,"hops","B2:B1000",2)/100)</f>
        <v>0</v>
      </c>
      <c r="G205" s="56"/>
      <c r="H205" s="78" t="s">
        <v>10</v>
      </c>
      <c r="I205" s="73" t="str">
        <f t="shared" si="7"/>
        <v>-</v>
      </c>
      <c r="O205" s="84">
        <f t="shared" si="6"/>
        <v>39.25</v>
      </c>
      <c r="P205" s="46">
        <v>50.75</v>
      </c>
      <c r="Q205" s="49">
        <v>65.652743650999838</v>
      </c>
      <c r="R205" s="18">
        <v>45.758718183088135</v>
      </c>
      <c r="S205" s="47">
        <v>7.5885381659120208</v>
      </c>
      <c r="T205" s="18">
        <v>100</v>
      </c>
      <c r="U205" s="51">
        <v>21.422401504594543</v>
      </c>
      <c r="Y205" s="53"/>
      <c r="Z205" s="53"/>
    </row>
    <row r="206" spans="2:26" x14ac:dyDescent="0.25">
      <c r="B206" s="67"/>
      <c r="C206" s="6" t="s">
        <v>11</v>
      </c>
      <c r="D206" s="7" t="s">
        <v>72</v>
      </c>
      <c r="E206" s="5"/>
      <c r="F206" s="71">
        <f>IF(C206=hops!$B$2,0,find_c(C206,"hops","B2:B1000",2)/100)</f>
        <v>0</v>
      </c>
      <c r="G206" s="56"/>
      <c r="H206" s="79" t="s">
        <v>10</v>
      </c>
      <c r="I206" s="73" t="str">
        <f t="shared" si="7"/>
        <v>-</v>
      </c>
      <c r="O206" s="84">
        <f t="shared" si="6"/>
        <v>39</v>
      </c>
      <c r="P206" s="46">
        <v>51</v>
      </c>
      <c r="Q206" s="49">
        <v>65.310528724719006</v>
      </c>
      <c r="R206" s="18">
        <v>45.992027360093225</v>
      </c>
      <c r="S206" s="47">
        <v>7.6974439151877707</v>
      </c>
      <c r="T206" s="18">
        <v>100</v>
      </c>
      <c r="U206" s="51">
        <v>21.531627528901243</v>
      </c>
      <c r="Y206" s="53"/>
      <c r="Z206" s="53"/>
    </row>
    <row r="207" spans="2:26" x14ac:dyDescent="0.25">
      <c r="B207" s="67"/>
      <c r="C207" s="6" t="s">
        <v>11</v>
      </c>
      <c r="D207" s="7" t="s">
        <v>72</v>
      </c>
      <c r="E207" s="5"/>
      <c r="F207" s="71">
        <f>IF(C207=hops!$B$2,0,find_c(C207,"hops","B2:B1000",2)/100)</f>
        <v>0</v>
      </c>
      <c r="G207" s="56"/>
      <c r="H207" s="79" t="s">
        <v>10</v>
      </c>
      <c r="I207" s="73" t="str">
        <f t="shared" si="7"/>
        <v>-</v>
      </c>
      <c r="O207" s="84">
        <f t="shared" si="6"/>
        <v>38.75</v>
      </c>
      <c r="P207" s="46">
        <v>51.25</v>
      </c>
      <c r="Q207" s="49">
        <v>64.970097593741414</v>
      </c>
      <c r="R207" s="18">
        <v>46.222997465953803</v>
      </c>
      <c r="S207" s="47">
        <v>7.8069049403047925</v>
      </c>
      <c r="T207" s="18">
        <v>100</v>
      </c>
      <c r="U207" s="51">
        <v>21.639758493660931</v>
      </c>
      <c r="Y207" s="53"/>
      <c r="Z207" s="53"/>
    </row>
    <row r="208" spans="2:26" x14ac:dyDescent="0.25">
      <c r="B208" s="67"/>
      <c r="C208" s="6" t="s">
        <v>11</v>
      </c>
      <c r="D208" s="7" t="s">
        <v>72</v>
      </c>
      <c r="E208" s="5"/>
      <c r="F208" s="71">
        <f>IF(C208=hops!$B$2,0,find_c(C208,"hops","B2:B1000",2)/100)</f>
        <v>0</v>
      </c>
      <c r="G208" s="56"/>
      <c r="H208" s="79" t="s">
        <v>10</v>
      </c>
      <c r="I208" s="73" t="str">
        <f t="shared" si="7"/>
        <v>-</v>
      </c>
      <c r="O208" s="84">
        <f t="shared" si="6"/>
        <v>38.5</v>
      </c>
      <c r="P208" s="46">
        <v>51.5</v>
      </c>
      <c r="Q208" s="49">
        <v>64.631440960034041</v>
      </c>
      <c r="R208" s="18">
        <v>46.451643365692213</v>
      </c>
      <c r="S208" s="47">
        <v>7.9169156742737625</v>
      </c>
      <c r="T208" s="18">
        <v>100</v>
      </c>
      <c r="U208" s="51">
        <v>21.746801358082468</v>
      </c>
      <c r="Y208" s="53"/>
      <c r="Z208" s="53"/>
    </row>
    <row r="209" spans="2:26" x14ac:dyDescent="0.25">
      <c r="B209" s="67"/>
      <c r="C209" s="6" t="s">
        <v>11</v>
      </c>
      <c r="D209" s="7" t="s">
        <v>72</v>
      </c>
      <c r="E209" s="5"/>
      <c r="F209" s="71">
        <f>IF(C209=hops!$B$2,0,find_c(C209,"hops","B2:B1000",2)/100)</f>
        <v>0</v>
      </c>
      <c r="G209" s="56"/>
      <c r="H209" s="79" t="s">
        <v>10</v>
      </c>
      <c r="I209" s="73" t="str">
        <f t="shared" si="7"/>
        <v>-</v>
      </c>
      <c r="O209" s="84">
        <f t="shared" si="6"/>
        <v>38.25</v>
      </c>
      <c r="P209" s="46">
        <v>51.75</v>
      </c>
      <c r="Q209" s="49">
        <v>64.294549574029858</v>
      </c>
      <c r="R209" s="18">
        <v>46.677979840486039</v>
      </c>
      <c r="S209" s="47">
        <v>8.0274705854841102</v>
      </c>
      <c r="T209" s="18">
        <v>100</v>
      </c>
      <c r="U209" s="51">
        <v>21.852763042121943</v>
      </c>
      <c r="Y209" s="53"/>
      <c r="Z209" s="53"/>
    </row>
    <row r="210" spans="2:26" x14ac:dyDescent="0.25">
      <c r="B210" s="67"/>
      <c r="C210" s="6" t="s">
        <v>11</v>
      </c>
      <c r="D210" s="7" t="s">
        <v>72</v>
      </c>
      <c r="E210" s="5"/>
      <c r="F210" s="71">
        <f>IF(C210=hops!$B$2,0,find_c(C210,"hops","B2:B1000",2)/100)</f>
        <v>0</v>
      </c>
      <c r="G210" s="56"/>
      <c r="H210" s="79" t="s">
        <v>10</v>
      </c>
      <c r="I210" s="73" t="str">
        <f t="shared" si="7"/>
        <v>-</v>
      </c>
      <c r="O210" s="84">
        <f t="shared" si="6"/>
        <v>38</v>
      </c>
      <c r="P210" s="46">
        <v>52</v>
      </c>
      <c r="Q210" s="49">
        <v>63.959414234375231</v>
      </c>
      <c r="R210" s="18">
        <v>46.902021588120306</v>
      </c>
      <c r="S210" s="47">
        <v>8.1385641775044668</v>
      </c>
      <c r="T210" s="18">
        <v>100</v>
      </c>
      <c r="U210" s="51">
        <v>21.957650426694403</v>
      </c>
      <c r="Y210" s="53"/>
      <c r="Z210" s="53"/>
    </row>
    <row r="211" spans="2:26" x14ac:dyDescent="0.25">
      <c r="B211" s="67"/>
      <c r="C211" s="6" t="s">
        <v>11</v>
      </c>
      <c r="D211" s="7" t="s">
        <v>72</v>
      </c>
      <c r="E211" s="5"/>
      <c r="F211" s="71">
        <f>IF(C211=hops!$B$2,0,find_c(C211,"hops","B2:B1000",2)/100)</f>
        <v>0</v>
      </c>
      <c r="G211" s="56"/>
      <c r="H211" s="79" t="s">
        <v>10</v>
      </c>
      <c r="I211" s="73" t="str">
        <f t="shared" si="7"/>
        <v>-</v>
      </c>
      <c r="O211" s="84">
        <f t="shared" si="6"/>
        <v>37.75</v>
      </c>
      <c r="P211" s="46">
        <v>52.25</v>
      </c>
      <c r="Q211" s="49">
        <v>63.62602578767855</v>
      </c>
      <c r="R211" s="18">
        <v>47.123783223437258</v>
      </c>
      <c r="S211" s="47">
        <v>8.250190988884194</v>
      </c>
      <c r="T211" s="18">
        <v>100</v>
      </c>
      <c r="U211" s="51">
        <v>22.061470353884388</v>
      </c>
      <c r="Y211" s="53"/>
      <c r="Z211" s="53"/>
    </row>
    <row r="212" spans="2:26" x14ac:dyDescent="0.25">
      <c r="B212" s="67"/>
      <c r="C212" s="6" t="s">
        <v>11</v>
      </c>
      <c r="D212" s="7" t="s">
        <v>72</v>
      </c>
      <c r="E212" s="5"/>
      <c r="F212" s="71">
        <f>IF(C212=hops!$B$2,0,find_c(C212,"hops","B2:B1000",2)/100)</f>
        <v>0</v>
      </c>
      <c r="G212" s="56"/>
      <c r="H212" s="79" t="s">
        <v>10</v>
      </c>
      <c r="I212" s="73" t="str">
        <f t="shared" si="7"/>
        <v>-</v>
      </c>
      <c r="O212" s="84">
        <f t="shared" si="6"/>
        <v>37.5</v>
      </c>
      <c r="P212" s="46">
        <v>52.5</v>
      </c>
      <c r="Q212" s="49">
        <v>63.294375128260278</v>
      </c>
      <c r="R212" s="18">
        <v>47.343279278783747</v>
      </c>
      <c r="S212" s="47">
        <v>8.3623455929559753</v>
      </c>
      <c r="T212" s="18">
        <v>100</v>
      </c>
      <c r="U212" s="51">
        <v>22.164229627155397</v>
      </c>
      <c r="Y212" s="53"/>
      <c r="Z212" s="53"/>
    </row>
    <row r="213" spans="2:26" x14ac:dyDescent="0.25">
      <c r="B213" s="67"/>
      <c r="C213" s="6" t="s">
        <v>11</v>
      </c>
      <c r="D213" s="7" t="s">
        <v>72</v>
      </c>
      <c r="E213" s="5"/>
      <c r="F213" s="71">
        <f>IF(C213=hops!$B$2,0,find_c(C213,"hops","B2:B1000",2)/100)</f>
        <v>0</v>
      </c>
      <c r="G213" s="56"/>
      <c r="H213" s="79" t="s">
        <v>10</v>
      </c>
      <c r="I213" s="73" t="str">
        <f t="shared" si="7"/>
        <v>-</v>
      </c>
      <c r="O213" s="84">
        <f t="shared" si="6"/>
        <v>37.25</v>
      </c>
      <c r="P213" s="46">
        <v>52.75</v>
      </c>
      <c r="Q213" s="49">
        <v>62.96445319790422</v>
      </c>
      <c r="R213" s="18">
        <v>47.5605242044563</v>
      </c>
      <c r="S213" s="47">
        <v>8.4750225976394802</v>
      </c>
      <c r="T213" s="18">
        <v>100</v>
      </c>
      <c r="U213" s="51">
        <v>22.265935011558259</v>
      </c>
      <c r="Y213" s="53"/>
      <c r="Z213" s="53"/>
    </row>
    <row r="214" spans="2:26" x14ac:dyDescent="0.25">
      <c r="B214" s="67"/>
      <c r="C214" s="6" t="s">
        <v>11</v>
      </c>
      <c r="D214" s="7" t="s">
        <v>72</v>
      </c>
      <c r="E214" s="5"/>
      <c r="F214" s="71">
        <f>IF(C214=hops!$B$2,0,find_c(C214,"hops","B2:B1000",2)/100)</f>
        <v>0</v>
      </c>
      <c r="G214" s="56"/>
      <c r="H214" s="79" t="s">
        <v>10</v>
      </c>
      <c r="I214" s="73" t="str">
        <f t="shared" si="7"/>
        <v>-</v>
      </c>
      <c r="O214" s="84">
        <f t="shared" si="6"/>
        <v>37</v>
      </c>
      <c r="P214" s="46">
        <v>53</v>
      </c>
      <c r="Q214" s="49">
        <v>62.636250985610147</v>
      </c>
      <c r="R214" s="18">
        <v>47.775532369143768</v>
      </c>
      <c r="S214" s="47">
        <v>8.5882166452460869</v>
      </c>
      <c r="T214" s="18">
        <v>100</v>
      </c>
      <c r="U214" s="51">
        <v>22.366593233938346</v>
      </c>
      <c r="Y214" s="53"/>
      <c r="Z214" s="53"/>
    </row>
    <row r="215" spans="2:26" x14ac:dyDescent="0.25">
      <c r="B215" s="67"/>
      <c r="C215" s="6" t="s">
        <v>11</v>
      </c>
      <c r="D215" s="7" t="s">
        <v>72</v>
      </c>
      <c r="E215" s="5"/>
      <c r="F215" s="71">
        <f>IF(C215=hops!$B$2,0,find_c(C215,"hops","B2:B1000",2)/100)</f>
        <v>0</v>
      </c>
      <c r="G215" s="56"/>
      <c r="H215" s="79" t="s">
        <v>10</v>
      </c>
      <c r="I215" s="73" t="str">
        <f t="shared" si="7"/>
        <v>-</v>
      </c>
      <c r="O215" s="84">
        <f t="shared" si="6"/>
        <v>36.75</v>
      </c>
      <c r="P215" s="46">
        <v>53.25</v>
      </c>
      <c r="Q215" s="49">
        <v>62.309759527347651</v>
      </c>
      <c r="R215" s="18">
        <v>47.988318060367703</v>
      </c>
      <c r="S215" s="47">
        <v>8.7019224122846488</v>
      </c>
      <c r="T215" s="18">
        <v>100</v>
      </c>
      <c r="U215" s="51">
        <v>22.466210983141746</v>
      </c>
      <c r="Y215" s="53"/>
      <c r="Z215" s="53"/>
    </row>
    <row r="216" spans="2:26" x14ac:dyDescent="0.25">
      <c r="B216" s="67"/>
      <c r="C216" s="6" t="s">
        <v>11</v>
      </c>
      <c r="D216" s="7" t="s">
        <v>72</v>
      </c>
      <c r="E216" s="5"/>
      <c r="F216" s="71">
        <f>IF(C216=hops!$B$2,0,find_c(C216,"hops","B2:B1000",2)/100)</f>
        <v>0</v>
      </c>
      <c r="G216" s="56"/>
      <c r="H216" s="79" t="s">
        <v>10</v>
      </c>
      <c r="I216" s="73" t="str">
        <f t="shared" si="7"/>
        <v>-</v>
      </c>
      <c r="O216" s="84">
        <f t="shared" si="6"/>
        <v>36.5</v>
      </c>
      <c r="P216" s="46">
        <v>53.5</v>
      </c>
      <c r="Q216" s="49">
        <v>61.984969905811354</v>
      </c>
      <c r="R216" s="18">
        <v>48.198895484920328</v>
      </c>
      <c r="S216" s="47">
        <v>8.8161346092683246</v>
      </c>
      <c r="T216" s="18">
        <v>100</v>
      </c>
      <c r="U216" s="51">
        <v>22.564794910220304</v>
      </c>
      <c r="Y216" s="53"/>
      <c r="Z216" s="53"/>
    </row>
    <row r="217" spans="2:26" x14ac:dyDescent="0.25">
      <c r="B217" s="67"/>
      <c r="C217" s="6" t="s">
        <v>11</v>
      </c>
      <c r="D217" s="7" t="s">
        <v>72</v>
      </c>
      <c r="E217" s="5"/>
      <c r="F217" s="71">
        <f>IF(C217=hops!$B$2,0,find_c(C217,"hops","B2:B1000",2)/100)</f>
        <v>0</v>
      </c>
      <c r="G217" s="56"/>
      <c r="H217" s="79" t="s">
        <v>10</v>
      </c>
      <c r="I217" s="73" t="str">
        <f t="shared" si="7"/>
        <v>-</v>
      </c>
      <c r="O217" s="84">
        <f t="shared" si="6"/>
        <v>36.25</v>
      </c>
      <c r="P217" s="46">
        <v>53.75</v>
      </c>
      <c r="Q217" s="49">
        <v>61.661873250177315</v>
      </c>
      <c r="R217" s="18">
        <v>48.407278769300255</v>
      </c>
      <c r="S217" s="47">
        <v>8.9308479805224348</v>
      </c>
      <c r="T217" s="18">
        <v>100</v>
      </c>
      <c r="U217" s="51">
        <v>22.662351628635609</v>
      </c>
      <c r="Y217" s="53"/>
      <c r="Z217" s="53"/>
    </row>
    <row r="218" spans="2:26" x14ac:dyDescent="0.25">
      <c r="B218" s="67"/>
      <c r="C218" s="6" t="s">
        <v>11</v>
      </c>
      <c r="D218" s="7" t="s">
        <v>72</v>
      </c>
      <c r="E218" s="5"/>
      <c r="F218" s="71">
        <f>IF(C218=hops!$B$2,0,find_c(C218,"hops","B2:B1000",2)/100)</f>
        <v>0</v>
      </c>
      <c r="G218" s="56"/>
      <c r="H218" s="79" t="s">
        <v>10</v>
      </c>
      <c r="I218" s="73" t="str">
        <f t="shared" si="7"/>
        <v>-</v>
      </c>
      <c r="O218" s="84">
        <f t="shared" si="6"/>
        <v>36</v>
      </c>
      <c r="P218" s="46">
        <v>54</v>
      </c>
      <c r="Q218" s="49">
        <v>61.340460735860766</v>
      </c>
      <c r="R218" s="18">
        <v>48.613481960145869</v>
      </c>
      <c r="S218" s="47">
        <v>9.0460573039933703</v>
      </c>
      <c r="T218" s="18">
        <v>100</v>
      </c>
      <c r="U218" s="51">
        <v>22.758887714461888</v>
      </c>
      <c r="Y218" s="53"/>
      <c r="Z218" s="53"/>
    </row>
    <row r="219" spans="2:26" x14ac:dyDescent="0.25">
      <c r="B219" s="67"/>
      <c r="C219" s="6" t="s">
        <v>11</v>
      </c>
      <c r="D219" s="7" t="s">
        <v>72</v>
      </c>
      <c r="E219" s="5"/>
      <c r="F219" s="71">
        <f>IF(C219=hops!$B$2,0,find_c(C219,"hops","B2:B1000",2)/100)</f>
        <v>0</v>
      </c>
      <c r="G219" s="56"/>
      <c r="H219" s="79" t="s">
        <v>10</v>
      </c>
      <c r="I219" s="73" t="str">
        <f t="shared" si="7"/>
        <v>-</v>
      </c>
      <c r="O219" s="84">
        <f t="shared" si="6"/>
        <v>35.75</v>
      </c>
      <c r="P219" s="46">
        <v>54.25</v>
      </c>
      <c r="Q219" s="49">
        <v>61.020723584275089</v>
      </c>
      <c r="R219" s="18">
        <v>48.817519024666396</v>
      </c>
      <c r="S219" s="47">
        <v>9.1617573910585168</v>
      </c>
      <c r="T219" s="18">
        <v>100</v>
      </c>
      <c r="U219" s="51">
        <v>22.85440970658782</v>
      </c>
      <c r="Y219" s="53"/>
      <c r="Z219" s="53"/>
    </row>
    <row r="220" spans="2:26" x14ac:dyDescent="0.25">
      <c r="B220" s="67"/>
      <c r="C220" s="6" t="s">
        <v>11</v>
      </c>
      <c r="D220" s="7" t="s">
        <v>72</v>
      </c>
      <c r="E220" s="5"/>
      <c r="F220" s="71">
        <f>IF(C220=hops!$B$2,0,find_c(C220,"hops","B2:B1000",2)/100)</f>
        <v>0</v>
      </c>
      <c r="G220" s="56"/>
      <c r="H220" s="79" t="s">
        <v>10</v>
      </c>
      <c r="I220" s="73" t="str">
        <f t="shared" si="7"/>
        <v>-</v>
      </c>
      <c r="O220" s="84">
        <f t="shared" si="6"/>
        <v>35.5</v>
      </c>
      <c r="P220" s="46">
        <v>54.5</v>
      </c>
      <c r="Q220" s="49">
        <v>60.702653062592056</v>
      </c>
      <c r="R220" s="18">
        <v>49.01940385107072</v>
      </c>
      <c r="S220" s="47">
        <v>9.2779430863372223</v>
      </c>
      <c r="T220" s="18">
        <v>100</v>
      </c>
      <c r="U220" s="51">
        <v>22.948924106917268</v>
      </c>
      <c r="Y220" s="53"/>
      <c r="Z220" s="53"/>
    </row>
    <row r="221" spans="2:26" x14ac:dyDescent="0.25">
      <c r="B221" s="67"/>
      <c r="C221" s="6" t="s">
        <v>11</v>
      </c>
      <c r="D221" s="7" t="s">
        <v>72</v>
      </c>
      <c r="E221" s="5"/>
      <c r="F221" s="71">
        <f>IF(C221=hops!$B$2,0,find_c(C221,"hops","B2:B1000",2)/100)</f>
        <v>0</v>
      </c>
      <c r="G221" s="56"/>
      <c r="H221" s="79" t="s">
        <v>10</v>
      </c>
      <c r="I221" s="73" t="str">
        <f t="shared" si="7"/>
        <v>-</v>
      </c>
      <c r="O221" s="84">
        <f t="shared" si="6"/>
        <v>35.25</v>
      </c>
      <c r="P221" s="46">
        <v>54.75</v>
      </c>
      <c r="Q221" s="49">
        <v>60.386240483503293</v>
      </c>
      <c r="R221" s="18">
        <v>49.219150248993934</v>
      </c>
      <c r="S221" s="47">
        <v>9.394609267502771</v>
      </c>
      <c r="T221" s="18">
        <v>100</v>
      </c>
      <c r="U221" s="51">
        <v>23.042437380569002</v>
      </c>
      <c r="Y221" s="53"/>
      <c r="Z221" s="53"/>
    </row>
    <row r="222" spans="2:26" x14ac:dyDescent="0.25">
      <c r="B222" s="67"/>
      <c r="C222" s="6" t="s">
        <v>11</v>
      </c>
      <c r="D222" s="7" t="s">
        <v>72</v>
      </c>
      <c r="E222" s="5"/>
      <c r="F222" s="71">
        <f>IF(C222=hops!$B$2,0,find_c(C222,"hops","B2:B1000",2)/100)</f>
        <v>0</v>
      </c>
      <c r="G222" s="56"/>
      <c r="H222" s="79" t="s">
        <v>10</v>
      </c>
      <c r="I222" s="73" t="str">
        <f t="shared" si="7"/>
        <v>-</v>
      </c>
      <c r="O222" s="84">
        <f t="shared" si="6"/>
        <v>35</v>
      </c>
      <c r="P222" s="46">
        <v>55</v>
      </c>
      <c r="Q222" s="49">
        <v>60.071477204983033</v>
      </c>
      <c r="R222" s="18">
        <v>49.416771949921589</v>
      </c>
      <c r="S222" s="47">
        <v>9.5117508450953761</v>
      </c>
      <c r="T222" s="18">
        <v>100</v>
      </c>
      <c r="U222" s="51">
        <v>23.134955956075292</v>
      </c>
      <c r="Y222" s="53"/>
      <c r="Z222" s="53"/>
    </row>
    <row r="223" spans="2:26" x14ac:dyDescent="0.25">
      <c r="B223" s="67"/>
      <c r="C223" s="6" t="s">
        <v>11</v>
      </c>
      <c r="D223" s="7" t="s">
        <v>72</v>
      </c>
      <c r="E223" s="5"/>
      <c r="F223" s="71">
        <f>IF(C223=hops!$B$2,0,find_c(C223,"hops","B2:B1000",2)/100)</f>
        <v>0</v>
      </c>
      <c r="G223" s="56"/>
      <c r="H223" s="79" t="s">
        <v>10</v>
      </c>
      <c r="I223" s="73" t="str">
        <f t="shared" si="7"/>
        <v>-</v>
      </c>
      <c r="O223" s="84">
        <f t="shared" si="6"/>
        <v>34.75</v>
      </c>
      <c r="P223" s="46">
        <v>55.25</v>
      </c>
      <c r="Q223" s="49">
        <v>59.758354630052061</v>
      </c>
      <c r="R223" s="18">
        <v>49.612282607611746</v>
      </c>
      <c r="S223" s="47">
        <v>9.6293627623361893</v>
      </c>
      <c r="T223" s="18">
        <v>100</v>
      </c>
      <c r="U223" s="51">
        <v>23.226486225579514</v>
      </c>
      <c r="Y223" s="53"/>
      <c r="Z223" s="53"/>
    </row>
    <row r="224" spans="2:26" x14ac:dyDescent="0.25">
      <c r="B224" s="67"/>
      <c r="C224" s="6" t="s">
        <v>11</v>
      </c>
      <c r="D224" s="7" t="s">
        <v>72</v>
      </c>
      <c r="E224" s="5"/>
      <c r="F224" s="71">
        <f>IF(C224=hops!$B$2,0,find_c(C224,"hops","B2:B1000",2)/100)</f>
        <v>0</v>
      </c>
      <c r="G224" s="56"/>
      <c r="H224" s="79" t="s">
        <v>10</v>
      </c>
      <c r="I224" s="73" t="str">
        <f t="shared" si="7"/>
        <v>-</v>
      </c>
      <c r="O224" s="84">
        <f t="shared" si="6"/>
        <v>34.5</v>
      </c>
      <c r="P224" s="46">
        <v>55.5</v>
      </c>
      <c r="Q224" s="49">
        <v>59.446864206542912</v>
      </c>
      <c r="R224" s="18">
        <v>49.805695798514776</v>
      </c>
      <c r="S224" s="47">
        <v>9.7474399949423045</v>
      </c>
      <c r="T224" s="18">
        <v>100</v>
      </c>
      <c r="U224" s="51">
        <v>23.317034545032676</v>
      </c>
      <c r="Y224" s="53"/>
      <c r="Z224" s="53"/>
    </row>
    <row r="225" spans="2:26" x14ac:dyDescent="0.25">
      <c r="B225" s="67"/>
      <c r="C225" s="6" t="s">
        <v>11</v>
      </c>
      <c r="D225" s="7" t="s">
        <v>72</v>
      </c>
      <c r="E225" s="5"/>
      <c r="F225" s="71">
        <f>IF(C225=hops!$B$2,0,find_c(C225,"hops","B2:B1000",2)/100)</f>
        <v>0</v>
      </c>
      <c r="G225" s="56"/>
      <c r="H225" s="79" t="s">
        <v>10</v>
      </c>
      <c r="I225" s="73" t="str">
        <f t="shared" si="7"/>
        <v>-</v>
      </c>
      <c r="O225" s="84">
        <f t="shared" si="6"/>
        <v>34.25</v>
      </c>
      <c r="P225" s="46">
        <v>55.75</v>
      </c>
      <c r="Q225" s="49">
        <v>59.136997426866309</v>
      </c>
      <c r="R225" s="18">
        <v>49.997025022190911</v>
      </c>
      <c r="S225" s="47">
        <v>9.8659775509427696</v>
      </c>
      <c r="T225" s="18">
        <v>100</v>
      </c>
      <c r="U225" s="51">
        <v>23.406607234388897</v>
      </c>
      <c r="Y225" s="53"/>
      <c r="Z225" s="53"/>
    </row>
    <row r="226" spans="2:26" x14ac:dyDescent="0.25">
      <c r="B226" s="67"/>
      <c r="C226" s="6" t="s">
        <v>11</v>
      </c>
      <c r="D226" s="7" t="s">
        <v>72</v>
      </c>
      <c r="E226" s="5"/>
      <c r="F226" s="71">
        <f>IF(C226=hops!$B$2,0,find_c(C226,"hops","B2:B1000",2)/100)</f>
        <v>0</v>
      </c>
      <c r="G226" s="56"/>
      <c r="H226" s="79" t="s">
        <v>10</v>
      </c>
      <c r="I226" s="73" t="str">
        <f t="shared" si="7"/>
        <v>-</v>
      </c>
      <c r="O226" s="84">
        <f t="shared" si="6"/>
        <v>34</v>
      </c>
      <c r="P226" s="46">
        <v>56</v>
      </c>
      <c r="Q226" s="49">
        <v>58.828745827778768</v>
      </c>
      <c r="R226" s="18">
        <v>50.186283701725635</v>
      </c>
      <c r="S226" s="47">
        <v>9.9849704704955844</v>
      </c>
      <c r="T226" s="18">
        <v>100</v>
      </c>
      <c r="U226" s="51">
        <v>23.49521057779987</v>
      </c>
      <c r="Y226" s="53"/>
      <c r="Z226" s="53"/>
    </row>
    <row r="227" spans="2:26" x14ac:dyDescent="0.25">
      <c r="B227" s="67"/>
      <c r="C227" s="6" t="s">
        <v>11</v>
      </c>
      <c r="D227" s="7" t="s">
        <v>72</v>
      </c>
      <c r="E227" s="5"/>
      <c r="F227" s="71">
        <f>IF(C227=hops!$B$2,0,find_c(C227,"hops","B2:B1000",2)/100)</f>
        <v>0</v>
      </c>
      <c r="G227" s="56"/>
      <c r="H227" s="79" t="s">
        <v>10</v>
      </c>
      <c r="I227" s="73" t="str">
        <f t="shared" si="7"/>
        <v>-</v>
      </c>
      <c r="O227" s="84">
        <f t="shared" si="6"/>
        <v>33.75</v>
      </c>
      <c r="P227" s="46">
        <v>56.25</v>
      </c>
      <c r="Q227" s="49">
        <v>58.522100990151472</v>
      </c>
      <c r="R227" s="18">
        <v>50.373485184142822</v>
      </c>
      <c r="S227" s="47">
        <v>10.104413825705691</v>
      </c>
      <c r="T227" s="18">
        <v>100</v>
      </c>
      <c r="U227" s="51">
        <v>23.582850823808304</v>
      </c>
      <c r="Y227" s="53"/>
      <c r="Z227" s="53"/>
    </row>
    <row r="228" spans="2:26" x14ac:dyDescent="0.25">
      <c r="B228" s="67"/>
      <c r="C228" s="6" t="s">
        <v>11</v>
      </c>
      <c r="D228" s="7" t="s">
        <v>72</v>
      </c>
      <c r="E228" s="5"/>
      <c r="F228" s="71">
        <f>IF(C228=hops!$B$2,0,find_c(C228,"hops","B2:B1000",2)/100)</f>
        <v>0</v>
      </c>
      <c r="G228" s="56"/>
      <c r="H228" s="79" t="s">
        <v>10</v>
      </c>
      <c r="I228" s="73" t="str">
        <f t="shared" si="7"/>
        <v>-</v>
      </c>
      <c r="O228" s="84">
        <f t="shared" si="6"/>
        <v>33.5</v>
      </c>
      <c r="P228" s="46">
        <v>56.5</v>
      </c>
      <c r="Q228" s="49">
        <v>58.217054538740307</v>
      </c>
      <c r="R228" s="18">
        <v>50.558642740815728</v>
      </c>
      <c r="S228" s="47">
        <v>10.224302720443951</v>
      </c>
      <c r="T228" s="18">
        <v>100</v>
      </c>
      <c r="U228" s="51">
        <v>23.669534185540289</v>
      </c>
      <c r="Y228" s="53"/>
      <c r="Z228" s="53"/>
    </row>
    <row r="229" spans="2:26" x14ac:dyDescent="0.25">
      <c r="B229" s="67"/>
      <c r="C229" s="6" t="s">
        <v>11</v>
      </c>
      <c r="D229" s="7" t="s">
        <v>72</v>
      </c>
      <c r="E229" s="5"/>
      <c r="F229" s="71">
        <f>IF(C229=hops!$B$2,0,find_c(C229,"hops","B2:B1000",2)/100)</f>
        <v>0</v>
      </c>
      <c r="G229" s="56"/>
      <c r="H229" s="79" t="s">
        <v>10</v>
      </c>
      <c r="I229" s="73" t="str">
        <f t="shared" si="7"/>
        <v>-</v>
      </c>
      <c r="O229" s="84">
        <f t="shared" si="6"/>
        <v>33.25</v>
      </c>
      <c r="P229" s="46">
        <v>56.75</v>
      </c>
      <c r="Q229" s="49">
        <v>57.913598141957124</v>
      </c>
      <c r="R229" s="18">
        <v>50.741769567875771</v>
      </c>
      <c r="S229" s="47">
        <v>10.344632290167093</v>
      </c>
      <c r="T229" s="18">
        <v>100</v>
      </c>
      <c r="U229" s="51">
        <v>23.75526684089672</v>
      </c>
      <c r="Y229" s="53"/>
      <c r="Z229" s="53"/>
    </row>
    <row r="230" spans="2:26" x14ac:dyDescent="0.25">
      <c r="B230" s="67"/>
      <c r="C230" s="6" t="s">
        <v>11</v>
      </c>
      <c r="D230" s="7" t="s">
        <v>72</v>
      </c>
      <c r="E230" s="5"/>
      <c r="F230" s="71">
        <f>IF(C230=hops!$B$2,0,find_c(C230,"hops","B2:B1000",2)/100)</f>
        <v>0</v>
      </c>
      <c r="G230" s="56"/>
      <c r="H230" s="79" t="s">
        <v>10</v>
      </c>
      <c r="I230" s="73" t="str">
        <f t="shared" si="7"/>
        <v>-</v>
      </c>
      <c r="O230" s="84">
        <f t="shared" si="6"/>
        <v>33</v>
      </c>
      <c r="P230" s="46">
        <v>57</v>
      </c>
      <c r="Q230" s="49">
        <v>57.611723511642175</v>
      </c>
      <c r="R230" s="18">
        <v>50.922878786619172</v>
      </c>
      <c r="S230" s="47">
        <v>10.465397701738636</v>
      </c>
      <c r="T230" s="18">
        <v>100</v>
      </c>
      <c r="U230" s="51">
        <v>23.84005493274363</v>
      </c>
      <c r="Y230" s="53"/>
      <c r="Z230" s="53"/>
    </row>
    <row r="231" spans="2:26" x14ac:dyDescent="0.25">
      <c r="B231" s="67"/>
      <c r="C231" s="6" t="s">
        <v>11</v>
      </c>
      <c r="D231" s="7" t="s">
        <v>72</v>
      </c>
      <c r="E231" s="5"/>
      <c r="F231" s="71">
        <f>IF(C231=hops!$B$2,0,find_c(C231,"hops","B2:B1000",2)/100)</f>
        <v>0</v>
      </c>
      <c r="G231" s="56"/>
      <c r="H231" s="79" t="s">
        <v>10</v>
      </c>
      <c r="I231" s="73" t="str">
        <f t="shared" si="7"/>
        <v>-</v>
      </c>
      <c r="O231" s="84">
        <f t="shared" si="6"/>
        <v>32.75</v>
      </c>
      <c r="P231" s="46">
        <v>57.25</v>
      </c>
      <c r="Q231" s="49">
        <v>57.311422402837742</v>
      </c>
      <c r="R231" s="18">
        <v>51.10198344391145</v>
      </c>
      <c r="S231" s="47">
        <v>10.58659415325079</v>
      </c>
      <c r="T231" s="18">
        <v>100</v>
      </c>
      <c r="U231" s="51">
        <v>23.923904569101584</v>
      </c>
      <c r="Y231" s="53"/>
      <c r="Z231" s="53"/>
    </row>
    <row r="232" spans="2:26" x14ac:dyDescent="0.25">
      <c r="B232" s="67"/>
      <c r="C232" s="6" t="s">
        <v>11</v>
      </c>
      <c r="D232" s="7" t="s">
        <v>72</v>
      </c>
      <c r="E232" s="5"/>
      <c r="F232" s="71">
        <f>IF(C232=hops!$B$2,0,find_c(C232,"hops","B2:B1000",2)/100)</f>
        <v>0</v>
      </c>
      <c r="G232" s="56"/>
      <c r="H232" s="79" t="s">
        <v>10</v>
      </c>
      <c r="I232" s="73" t="str">
        <f t="shared" si="7"/>
        <v>-</v>
      </c>
      <c r="O232" s="84">
        <f t="shared" si="6"/>
        <v>32.5</v>
      </c>
      <c r="P232" s="46">
        <v>57.5</v>
      </c>
      <c r="Q232" s="49">
        <v>57.012686613562948</v>
      </c>
      <c r="R232" s="18">
        <v>51.279096512589732</v>
      </c>
      <c r="S232" s="47">
        <v>10.708216873847299</v>
      </c>
      <c r="T232" s="18">
        <v>100</v>
      </c>
      <c r="U232" s="51">
        <v>24.006821823334008</v>
      </c>
      <c r="Y232" s="53"/>
      <c r="Z232" s="53"/>
    </row>
    <row r="233" spans="2:26" x14ac:dyDescent="0.25">
      <c r="B233" s="67"/>
      <c r="C233" s="6" t="s">
        <v>11</v>
      </c>
      <c r="D233" s="7" t="s">
        <v>72</v>
      </c>
      <c r="E233" s="5"/>
      <c r="F233" s="71">
        <f>IF(C233=hops!$B$2,0,find_c(C233,"hops","B2:B1000",2)/100)</f>
        <v>0</v>
      </c>
      <c r="G233" s="56"/>
      <c r="H233" s="79" t="s">
        <v>10</v>
      </c>
      <c r="I233" s="73" t="str">
        <f t="shared" si="7"/>
        <v>-</v>
      </c>
      <c r="O233" s="84">
        <f t="shared" si="6"/>
        <v>32.25</v>
      </c>
      <c r="P233" s="46">
        <v>57.75</v>
      </c>
      <c r="Q233" s="49">
        <v>56.715507984589749</v>
      </c>
      <c r="R233" s="18">
        <v>51.45423089186297</v>
      </c>
      <c r="S233" s="47">
        <v>10.830261123547261</v>
      </c>
      <c r="T233" s="18">
        <v>100</v>
      </c>
      <c r="U233" s="51">
        <v>24.088812734334567</v>
      </c>
      <c r="Y233" s="53"/>
      <c r="Z233" s="53"/>
    </row>
    <row r="234" spans="2:26" x14ac:dyDescent="0.25">
      <c r="B234" s="67"/>
      <c r="C234" s="6" t="s">
        <v>11</v>
      </c>
      <c r="D234" s="7" t="s">
        <v>72</v>
      </c>
      <c r="E234" s="5"/>
      <c r="F234" s="71">
        <f>IF(C234=hops!$B$2,0,find_c(C234,"hops","B2:B1000",2)/100)</f>
        <v>0</v>
      </c>
      <c r="G234" s="56"/>
      <c r="H234" s="79" t="s">
        <v>10</v>
      </c>
      <c r="I234" s="73" t="str">
        <f t="shared" si="7"/>
        <v>-</v>
      </c>
      <c r="O234" s="84">
        <f t="shared" si="6"/>
        <v>32</v>
      </c>
      <c r="P234" s="46">
        <v>58</v>
      </c>
      <c r="Q234" s="49">
        <v>56.419878399220075</v>
      </c>
      <c r="R234" s="18">
        <v>51.627399407710008</v>
      </c>
      <c r="S234" s="47">
        <v>10.952722193069896</v>
      </c>
      <c r="T234" s="18">
        <v>100</v>
      </c>
      <c r="U234" s="51">
        <v>24.169883306713515</v>
      </c>
      <c r="Y234" s="53"/>
      <c r="Z234" s="53"/>
    </row>
    <row r="235" spans="2:26" x14ac:dyDescent="0.25">
      <c r="B235" s="67"/>
      <c r="C235" s="6" t="s">
        <v>11</v>
      </c>
      <c r="D235" s="7" t="s">
        <v>72</v>
      </c>
      <c r="E235" s="5"/>
      <c r="F235" s="71">
        <f>IF(C235=hops!$B$2,0,find_c(C235,"hops","B2:B1000",2)/100)</f>
        <v>0</v>
      </c>
      <c r="G235" s="56"/>
      <c r="H235" s="79" t="s">
        <v>10</v>
      </c>
      <c r="I235" s="73" t="str">
        <f t="shared" si="7"/>
        <v>-</v>
      </c>
      <c r="O235" s="84">
        <f t="shared" si="6"/>
        <v>31.75</v>
      </c>
      <c r="P235" s="46">
        <v>58.25</v>
      </c>
      <c r="Q235" s="49">
        <v>56.125789783064143</v>
      </c>
      <c r="R235" s="18">
        <v>51.798614813275591</v>
      </c>
      <c r="S235" s="47">
        <v>11.075595403660245</v>
      </c>
      <c r="T235" s="18">
        <v>100</v>
      </c>
      <c r="U235" s="51">
        <v>24.250039510983104</v>
      </c>
      <c r="Y235" s="53"/>
      <c r="Z235" s="53"/>
    </row>
    <row r="236" spans="2:26" x14ac:dyDescent="0.25">
      <c r="B236" s="67"/>
      <c r="C236" s="6" t="s">
        <v>11</v>
      </c>
      <c r="D236" s="7" t="s">
        <v>72</v>
      </c>
      <c r="E236" s="5"/>
      <c r="F236" s="71">
        <f>IF(C236=hops!$B$2,0,find_c(C236,"hops","B2:B1000",2)/100)</f>
        <v>0</v>
      </c>
      <c r="G236" s="56"/>
      <c r="H236" s="79" t="s">
        <v>10</v>
      </c>
      <c r="I236" s="73" t="str">
        <f t="shared" si="7"/>
        <v>-</v>
      </c>
      <c r="O236" s="84">
        <f t="shared" si="6"/>
        <v>31.5</v>
      </c>
      <c r="P236" s="46">
        <v>58.5</v>
      </c>
      <c r="Q236" s="49">
        <v>55.833234103819919</v>
      </c>
      <c r="R236" s="18">
        <v>51.96788978926422</v>
      </c>
      <c r="S236" s="47">
        <v>11.19887610691584</v>
      </c>
      <c r="T236" s="18">
        <v>100</v>
      </c>
      <c r="U236" s="51">
        <v>24.329287283741934</v>
      </c>
      <c r="Y236" s="53"/>
      <c r="Z236" s="53"/>
    </row>
    <row r="237" spans="2:26" x14ac:dyDescent="0.25">
      <c r="B237" s="67"/>
      <c r="C237" s="6" t="s">
        <v>11</v>
      </c>
      <c r="D237" s="7" t="s">
        <v>72</v>
      </c>
      <c r="E237" s="5"/>
      <c r="F237" s="71">
        <f>IF(C237=hops!$B$2,0,find_c(C237,"hops","B2:B1000",2)/100)</f>
        <v>0</v>
      </c>
      <c r="G237" s="56"/>
      <c r="H237" s="79" t="s">
        <v>10</v>
      </c>
      <c r="I237" s="73" t="str">
        <f t="shared" si="7"/>
        <v>-</v>
      </c>
      <c r="O237" s="84">
        <f t="shared" si="6"/>
        <v>31.25</v>
      </c>
      <c r="P237" s="46">
        <v>58.75</v>
      </c>
      <c r="Q237" s="49">
        <v>55.542203371053759</v>
      </c>
      <c r="R237" s="18">
        <v>52.135236944331929</v>
      </c>
      <c r="S237" s="47">
        <v>11.322559684614289</v>
      </c>
      <c r="T237" s="18">
        <v>100</v>
      </c>
      <c r="U237" s="51">
        <v>24.407632527858439</v>
      </c>
      <c r="Y237" s="53"/>
      <c r="Z237" s="53"/>
    </row>
    <row r="238" spans="2:26" x14ac:dyDescent="0.25">
      <c r="B238" s="67"/>
      <c r="C238" s="6" t="s">
        <v>11</v>
      </c>
      <c r="D238" s="7" t="s">
        <v>72</v>
      </c>
      <c r="E238" s="5"/>
      <c r="F238" s="71">
        <f>IF(C238=hops!$B$2,0,find_c(C238,"hops","B2:B1000",2)/100)</f>
        <v>0</v>
      </c>
      <c r="G238" s="56"/>
      <c r="H238" s="79" t="s">
        <v>10</v>
      </c>
      <c r="I238" s="73" t="str">
        <f t="shared" si="7"/>
        <v>-</v>
      </c>
      <c r="O238" s="84">
        <f t="shared" si="6"/>
        <v>31</v>
      </c>
      <c r="P238" s="46">
        <v>59</v>
      </c>
      <c r="Q238" s="49">
        <v>55.252689635982144</v>
      </c>
      <c r="R238" s="18">
        <v>52.300668815476037</v>
      </c>
      <c r="S238" s="47">
        <v>11.446641548541798</v>
      </c>
      <c r="T238" s="18">
        <v>100</v>
      </c>
      <c r="U238" s="51">
        <v>24.485081112653258</v>
      </c>
      <c r="Y238" s="53"/>
      <c r="Z238" s="53"/>
    </row>
    <row r="239" spans="2:26" x14ac:dyDescent="0.25">
      <c r="B239" s="67"/>
      <c r="C239" s="6" t="s">
        <v>11</v>
      </c>
      <c r="D239" s="7" t="s">
        <v>72</v>
      </c>
      <c r="E239" s="5"/>
      <c r="F239" s="71">
        <f>IF(C239=hops!$B$2,0,find_c(C239,"hops","B2:B1000",2)/100)</f>
        <v>0</v>
      </c>
      <c r="G239" s="56"/>
      <c r="H239" s="79" t="s">
        <v>10</v>
      </c>
      <c r="I239" s="73" t="str">
        <f t="shared" si="7"/>
        <v>-</v>
      </c>
      <c r="O239" s="84">
        <f t="shared" si="6"/>
        <v>30.75</v>
      </c>
      <c r="P239" s="46">
        <v>59.25</v>
      </c>
      <c r="Q239" s="49">
        <v>54.964684991254586</v>
      </c>
      <c r="R239" s="18">
        <v>52.464197868422758</v>
      </c>
      <c r="S239" s="47">
        <v>11.571117140322631</v>
      </c>
      <c r="T239" s="18">
        <v>100</v>
      </c>
      <c r="U239" s="51">
        <v>24.561638874080799</v>
      </c>
      <c r="Y239" s="53"/>
      <c r="Z239" s="53"/>
    </row>
    <row r="240" spans="2:26" x14ac:dyDescent="0.25">
      <c r="B240" s="67"/>
      <c r="C240" s="6" t="s">
        <v>11</v>
      </c>
      <c r="D240" s="7" t="s">
        <v>72</v>
      </c>
      <c r="E240" s="5"/>
      <c r="F240" s="71">
        <f>IF(C240=hops!$B$2,0,find_c(C240,"hops","B2:B1000",2)/100)</f>
        <v>0</v>
      </c>
      <c r="G240" s="56"/>
      <c r="H240" s="79" t="s">
        <v>10</v>
      </c>
      <c r="I240" s="73" t="str">
        <f t="shared" si="7"/>
        <v>-</v>
      </c>
      <c r="O240" s="84">
        <f t="shared" si="6"/>
        <v>30.5</v>
      </c>
      <c r="P240" s="46">
        <v>59.5</v>
      </c>
      <c r="Q240" s="49">
        <v>54.678181570737671</v>
      </c>
      <c r="R240" s="18">
        <v>52.625836498012831</v>
      </c>
      <c r="S240" s="47">
        <v>11.695981931249477</v>
      </c>
      <c r="T240" s="18">
        <v>100</v>
      </c>
      <c r="U240" s="51">
        <v>24.637311614909688</v>
      </c>
      <c r="Y240" s="53"/>
      <c r="Z240" s="53"/>
    </row>
    <row r="241" spans="2:26" x14ac:dyDescent="0.25">
      <c r="B241" s="67"/>
      <c r="C241" s="6" t="s">
        <v>11</v>
      </c>
      <c r="D241" s="7" t="s">
        <v>72</v>
      </c>
      <c r="E241" s="5"/>
      <c r="F241" s="71">
        <f>IF(C241=hops!$B$2,0,find_c(C241,"hops","B2:B1000",2)/100)</f>
        <v>0</v>
      </c>
      <c r="G241" s="56"/>
      <c r="H241" s="79" t="s">
        <v>10</v>
      </c>
      <c r="I241" s="73" t="str">
        <f t="shared" si="7"/>
        <v>-</v>
      </c>
      <c r="O241" s="84">
        <f t="shared" si="6"/>
        <v>30.25</v>
      </c>
      <c r="P241" s="46">
        <v>59.75</v>
      </c>
      <c r="Q241" s="49">
        <v>54.393171549300199</v>
      </c>
      <c r="R241" s="18">
        <v>52.78559702858503</v>
      </c>
      <c r="S241" s="47">
        <v>11.821231422114748</v>
      </c>
      <c r="T241" s="18">
        <v>100</v>
      </c>
      <c r="U241" s="51">
        <v>24.712105104902367</v>
      </c>
      <c r="Y241" s="53"/>
      <c r="Z241" s="53"/>
    </row>
    <row r="242" spans="2:26" x14ac:dyDescent="0.25">
      <c r="B242" s="67"/>
      <c r="C242" s="6" t="s">
        <v>11</v>
      </c>
      <c r="D242" s="7" t="s">
        <v>72</v>
      </c>
      <c r="E242" s="5"/>
      <c r="F242" s="71">
        <f>IF(C242=hops!$B$2,0,find_c(C242,"hops","B2:B1000",2)/100)</f>
        <v>0</v>
      </c>
      <c r="G242" s="56"/>
      <c r="H242" s="79" t="s">
        <v>10</v>
      </c>
      <c r="I242" s="73" t="str">
        <f t="shared" si="7"/>
        <v>-</v>
      </c>
      <c r="O242" s="84">
        <f t="shared" si="6"/>
        <v>30</v>
      </c>
      <c r="P242" s="46">
        <v>60</v>
      </c>
      <c r="Q242" s="49">
        <v>102.10964714259947</v>
      </c>
      <c r="R242" s="18">
        <v>52.943491714357727</v>
      </c>
      <c r="S242" s="47">
        <v>11.94686114304278</v>
      </c>
      <c r="T242" s="18">
        <v>100</v>
      </c>
      <c r="U242" s="51">
        <v>24.78602508099371</v>
      </c>
      <c r="Y242" s="53"/>
      <c r="Z242" s="53"/>
    </row>
    <row r="243" spans="2:26" x14ac:dyDescent="0.25">
      <c r="B243" s="67"/>
      <c r="C243" s="6" t="s">
        <v>11</v>
      </c>
      <c r="D243" s="7" t="s">
        <v>72</v>
      </c>
      <c r="E243" s="5"/>
      <c r="F243" s="71">
        <f>IF(C243=hops!$B$2,0,find_c(C243,"hops","B2:B1000",2)/100)</f>
        <v>0</v>
      </c>
      <c r="G243" s="56"/>
      <c r="H243" s="79" t="s">
        <v>10</v>
      </c>
      <c r="I243" s="73" t="str">
        <f t="shared" si="7"/>
        <v>-</v>
      </c>
      <c r="O243" s="84">
        <f t="shared" si="6"/>
        <v>29.75</v>
      </c>
      <c r="P243" s="46">
        <v>60.25</v>
      </c>
      <c r="Q243" s="49">
        <v>101.57740060686866</v>
      </c>
      <c r="R243" s="18">
        <v>53.349732739808353</v>
      </c>
      <c r="S243" s="47">
        <v>12.072866653322951</v>
      </c>
      <c r="T243" s="18">
        <v>100</v>
      </c>
      <c r="U243" s="51">
        <v>24.976210879468677</v>
      </c>
      <c r="Y243" s="53"/>
      <c r="Z243" s="53"/>
    </row>
    <row r="244" spans="2:26" x14ac:dyDescent="0.25">
      <c r="B244" s="67"/>
      <c r="C244" s="6" t="s">
        <v>11</v>
      </c>
      <c r="D244" s="7" t="s">
        <v>72</v>
      </c>
      <c r="E244" s="5"/>
      <c r="F244" s="71">
        <f>IF(C244=hops!$B$2,0,find_c(C244,"hops","B2:B1000",2)/100)</f>
        <v>0</v>
      </c>
      <c r="G244" s="56"/>
      <c r="H244" s="79" t="s">
        <v>10</v>
      </c>
      <c r="I244" s="73" t="str">
        <f t="shared" si="7"/>
        <v>-</v>
      </c>
      <c r="O244" s="84">
        <f t="shared" si="6"/>
        <v>29.5</v>
      </c>
      <c r="P244" s="46">
        <v>60.5</v>
      </c>
      <c r="Q244" s="49">
        <v>101.04792840620536</v>
      </c>
      <c r="R244" s="18">
        <v>53.752232576550909</v>
      </c>
      <c r="S244" s="47">
        <v>12.199839017243695</v>
      </c>
      <c r="T244" s="18">
        <v>100</v>
      </c>
      <c r="U244" s="51">
        <v>25.16464520303807</v>
      </c>
      <c r="Y244" s="53"/>
      <c r="Z244" s="53"/>
    </row>
    <row r="245" spans="2:26" x14ac:dyDescent="0.25">
      <c r="B245" s="67"/>
      <c r="C245" s="6" t="s">
        <v>11</v>
      </c>
      <c r="D245" s="7" t="s">
        <v>72</v>
      </c>
      <c r="E245" s="5"/>
      <c r="F245" s="71">
        <f>IF(C245=hops!$B$2,0,find_c(C245,"hops","B2:B1000",2)/100)</f>
        <v>0</v>
      </c>
      <c r="G245" s="56"/>
      <c r="H245" s="79" t="s">
        <v>10</v>
      </c>
      <c r="I245" s="73" t="str">
        <f t="shared" si="7"/>
        <v>-</v>
      </c>
      <c r="O245" s="84">
        <f t="shared" si="6"/>
        <v>29.25</v>
      </c>
      <c r="P245" s="46">
        <v>60.75</v>
      </c>
      <c r="Q245" s="49">
        <v>100.52121607938801</v>
      </c>
      <c r="R245" s="18">
        <v>54.151014589836066</v>
      </c>
      <c r="S245" s="47">
        <v>12.327769330775887</v>
      </c>
      <c r="T245" s="18">
        <v>100</v>
      </c>
      <c r="U245" s="51">
        <v>25.351338990377656</v>
      </c>
      <c r="Y245" s="53"/>
      <c r="Z245" s="53"/>
    </row>
    <row r="246" spans="2:26" x14ac:dyDescent="0.25">
      <c r="B246" s="67"/>
      <c r="C246" s="6" t="s">
        <v>11</v>
      </c>
      <c r="D246" s="7" t="s">
        <v>72</v>
      </c>
      <c r="E246" s="5"/>
      <c r="F246" s="71">
        <f>IF(C246=hops!$B$2,0,find_c(C246,"hops","B2:B1000",2)/100)</f>
        <v>0</v>
      </c>
      <c r="G246" s="56"/>
      <c r="H246" s="79" t="s">
        <v>10</v>
      </c>
      <c r="I246" s="73" t="str">
        <f t="shared" si="7"/>
        <v>-</v>
      </c>
      <c r="O246" s="84">
        <f t="shared" si="6"/>
        <v>29</v>
      </c>
      <c r="P246" s="46">
        <v>61</v>
      </c>
      <c r="Q246" s="49">
        <v>99.997249240574206</v>
      </c>
      <c r="R246" s="18">
        <v>54.546102013926067</v>
      </c>
      <c r="S246" s="47">
        <v>12.456648745499697</v>
      </c>
      <c r="T246" s="18">
        <v>100</v>
      </c>
      <c r="U246" s="51">
        <v>25.536303118839626</v>
      </c>
      <c r="Y246" s="53"/>
      <c r="Z246" s="53"/>
    </row>
    <row r="247" spans="2:26" x14ac:dyDescent="0.25">
      <c r="B247" s="67"/>
      <c r="C247" s="6" t="s">
        <v>11</v>
      </c>
      <c r="D247" s="7" t="s">
        <v>72</v>
      </c>
      <c r="E247" s="5"/>
      <c r="F247" s="71">
        <f>IF(C247=hops!$B$2,0,find_c(C247,"hops","B2:B1000",2)/100)</f>
        <v>0</v>
      </c>
      <c r="G247" s="56"/>
      <c r="H247" s="79" t="s">
        <v>10</v>
      </c>
      <c r="I247" s="73" t="str">
        <f t="shared" si="7"/>
        <v>-</v>
      </c>
      <c r="O247" s="84">
        <f t="shared" si="6"/>
        <v>28.75</v>
      </c>
      <c r="P247" s="46">
        <v>61.25</v>
      </c>
      <c r="Q247" s="49">
        <v>99.476013578907711</v>
      </c>
      <c r="R247" s="18">
        <v>54.937517952799418</v>
      </c>
      <c r="S247" s="47">
        <v>12.586468468292841</v>
      </c>
      <c r="T247" s="18">
        <v>100</v>
      </c>
      <c r="U247" s="51">
        <v>25.719548404782575</v>
      </c>
      <c r="Y247" s="53"/>
      <c r="Z247" s="53"/>
    </row>
    <row r="248" spans="2:26" x14ac:dyDescent="0.25">
      <c r="B248" s="67"/>
      <c r="C248" s="6" t="s">
        <v>11</v>
      </c>
      <c r="D248" s="7" t="s">
        <v>72</v>
      </c>
      <c r="E248" s="5"/>
      <c r="F248" s="71">
        <f>IF(C248=hops!$B$2,0,find_c(C248,"hops","B2:B1000",2)/100)</f>
        <v>0</v>
      </c>
      <c r="G248" s="56"/>
      <c r="H248" s="79" t="s">
        <v>10</v>
      </c>
      <c r="I248" s="73" t="str">
        <f t="shared" si="7"/>
        <v>-</v>
      </c>
      <c r="O248" s="84">
        <f t="shared" si="6"/>
        <v>28.5</v>
      </c>
      <c r="P248" s="46">
        <v>61.5</v>
      </c>
      <c r="Q248" s="49">
        <v>98.95749485812766</v>
      </c>
      <c r="R248" s="18">
        <v>55.32528538085181</v>
      </c>
      <c r="S248" s="47">
        <v>12.717219761020504</v>
      </c>
      <c r="T248" s="18">
        <v>100</v>
      </c>
      <c r="U248" s="51">
        <v>25.901085603899581</v>
      </c>
      <c r="Y248" s="53"/>
      <c r="Z248" s="53"/>
    </row>
    <row r="249" spans="2:26" x14ac:dyDescent="0.25">
      <c r="B249" s="67"/>
      <c r="C249" s="6" t="s">
        <v>11</v>
      </c>
      <c r="D249" s="7" t="s">
        <v>72</v>
      </c>
      <c r="E249" s="5"/>
      <c r="F249" s="71">
        <f>IF(C249=hops!$B$2,0,find_c(C249,"hops","B2:B1000",2)/100)</f>
        <v>0</v>
      </c>
      <c r="G249" s="56"/>
      <c r="H249" s="79" t="s">
        <v>10</v>
      </c>
      <c r="I249" s="73" t="str">
        <f t="shared" si="7"/>
        <v>-</v>
      </c>
      <c r="O249" s="84">
        <f t="shared" si="6"/>
        <v>28.25</v>
      </c>
      <c r="P249" s="46">
        <v>61.75</v>
      </c>
      <c r="Q249" s="49">
        <v>98.441678916179669</v>
      </c>
      <c r="R249" s="18">
        <v>55.709427143593373</v>
      </c>
      <c r="S249" s="47">
        <v>12.848893940226931</v>
      </c>
      <c r="T249" s="18">
        <v>100</v>
      </c>
      <c r="U249" s="51">
        <v>26.080925411544673</v>
      </c>
      <c r="Y249" s="53"/>
      <c r="Z249" s="53"/>
    </row>
    <row r="250" spans="2:26" x14ac:dyDescent="0.25">
      <c r="B250" s="67"/>
      <c r="C250" s="6" t="s">
        <v>11</v>
      </c>
      <c r="D250" s="7" t="s">
        <v>72</v>
      </c>
      <c r="E250" s="5"/>
      <c r="F250" s="71">
        <f>IF(C250=hops!$B$2,0,find_c(C250,"hops","B2:B1000",2)/100)</f>
        <v>0</v>
      </c>
      <c r="G250" s="56"/>
      <c r="H250" s="79" t="s">
        <v>10</v>
      </c>
      <c r="I250" s="73" t="str">
        <f t="shared" si="7"/>
        <v>-</v>
      </c>
      <c r="O250" s="84">
        <f t="shared" si="6"/>
        <v>28</v>
      </c>
      <c r="P250" s="46">
        <v>62</v>
      </c>
      <c r="Q250" s="49">
        <v>97.928551664829087</v>
      </c>
      <c r="R250" s="18">
        <v>56.089965958342212</v>
      </c>
      <c r="S250" s="47">
        <v>12.981482376828684</v>
      </c>
      <c r="T250" s="18">
        <v>100</v>
      </c>
      <c r="U250" s="51">
        <v>26.259078463057492</v>
      </c>
      <c r="Y250" s="53"/>
      <c r="Z250" s="53"/>
    </row>
    <row r="251" spans="2:26" x14ac:dyDescent="0.25">
      <c r="B251" s="67"/>
      <c r="C251" s="6" t="s">
        <v>11</v>
      </c>
      <c r="D251" s="7" t="s">
        <v>72</v>
      </c>
      <c r="E251" s="5"/>
      <c r="F251" s="71">
        <f>IF(C251=hops!$B$2,0,find_c(C251,"hops","B2:B1000",2)/100)</f>
        <v>0</v>
      </c>
      <c r="G251" s="56"/>
      <c r="H251" s="79" t="s">
        <v>10</v>
      </c>
      <c r="I251" s="73" t="str">
        <f t="shared" si="7"/>
        <v>-</v>
      </c>
      <c r="O251" s="84">
        <f t="shared" si="6"/>
        <v>27.75</v>
      </c>
      <c r="P251" s="46">
        <v>62.25</v>
      </c>
      <c r="Q251" s="49">
        <v>97.418099089276168</v>
      </c>
      <c r="R251" s="18">
        <v>56.466924414914281</v>
      </c>
      <c r="S251" s="47">
        <v>13.114976495809538</v>
      </c>
      <c r="T251" s="18">
        <v>100</v>
      </c>
      <c r="U251" s="51">
        <v>26.435555334086271</v>
      </c>
      <c r="Y251" s="53"/>
      <c r="Z251" s="53"/>
    </row>
    <row r="252" spans="2:26" x14ac:dyDescent="0.25">
      <c r="B252" s="67"/>
      <c r="C252" s="6" t="s">
        <v>11</v>
      </c>
      <c r="D252" s="7" t="s">
        <v>72</v>
      </c>
      <c r="E252" s="5"/>
      <c r="F252" s="71">
        <f>IF(C252=hops!$B$2,0,find_c(C252,"hops","B2:B1000",2)/100)</f>
        <v>0</v>
      </c>
      <c r="G252" s="56"/>
      <c r="H252" s="79" t="s">
        <v>10</v>
      </c>
      <c r="I252" s="73" t="str">
        <f t="shared" si="7"/>
        <v>-</v>
      </c>
      <c r="O252" s="84">
        <f t="shared" si="6"/>
        <v>27.5</v>
      </c>
      <c r="P252" s="46">
        <v>62.5</v>
      </c>
      <c r="Q252" s="49">
        <v>96.910307247773318</v>
      </c>
      <c r="R252" s="18">
        <v>56.840324976309638</v>
      </c>
      <c r="S252" s="47">
        <v>13.249367775917033</v>
      </c>
      <c r="T252" s="18">
        <v>100</v>
      </c>
      <c r="U252" s="51">
        <v>26.610366540909123</v>
      </c>
      <c r="Y252" s="53"/>
      <c r="Z252" s="53"/>
    </row>
    <row r="253" spans="2:26" x14ac:dyDescent="0.25">
      <c r="B253" s="67"/>
      <c r="C253" s="6" t="s">
        <v>11</v>
      </c>
      <c r="D253" s="7" t="s">
        <v>72</v>
      </c>
      <c r="E253" s="5"/>
      <c r="F253" s="71">
        <f>IF(C253=hops!$B$2,0,find_c(C253,"hops","B2:B1000",2)/100)</f>
        <v>0</v>
      </c>
      <c r="G253" s="56"/>
      <c r="H253" s="79" t="s">
        <v>10</v>
      </c>
      <c r="I253" s="73" t="str">
        <f t="shared" si="7"/>
        <v>-</v>
      </c>
      <c r="O253" s="84">
        <f t="shared" si="6"/>
        <v>27.25</v>
      </c>
      <c r="P253" s="46">
        <v>62.75</v>
      </c>
      <c r="Q253" s="49">
        <v>96.405162271244293</v>
      </c>
      <c r="R253" s="18">
        <v>57.210189979395039</v>
      </c>
      <c r="S253" s="47">
        <v>13.384647749360649</v>
      </c>
      <c r="T253" s="18">
        <v>100</v>
      </c>
      <c r="U253" s="51">
        <v>26.78352254075358</v>
      </c>
      <c r="Y253" s="53"/>
      <c r="Z253" s="53"/>
    </row>
    <row r="254" spans="2:26" x14ac:dyDescent="0.25">
      <c r="B254" s="67"/>
      <c r="C254" s="6" t="s">
        <v>11</v>
      </c>
      <c r="D254" s="7" t="s">
        <v>72</v>
      </c>
      <c r="E254" s="5"/>
      <c r="F254" s="71">
        <f>IF(C254=hops!$B$2,0,find_c(C254,"hops","B2:B1000",2)/100)</f>
        <v>0</v>
      </c>
      <c r="G254" s="56"/>
      <c r="H254" s="79" t="s">
        <v>10</v>
      </c>
      <c r="I254" s="73" t="str">
        <f t="shared" si="7"/>
        <v>-</v>
      </c>
      <c r="O254" s="84">
        <f t="shared" si="6"/>
        <v>27</v>
      </c>
      <c r="P254" s="46">
        <v>63</v>
      </c>
      <c r="Q254" s="49">
        <v>95.902650362905433</v>
      </c>
      <c r="R254" s="18">
        <v>57.576541635582942</v>
      </c>
      <c r="S254" s="47">
        <v>13.520808001511609</v>
      </c>
      <c r="T254" s="18">
        <v>100</v>
      </c>
      <c r="U254" s="51">
        <v>26.955033732114508</v>
      </c>
      <c r="Y254" s="53"/>
      <c r="Z254" s="53"/>
    </row>
    <row r="255" spans="2:26" x14ac:dyDescent="0.25">
      <c r="B255" s="67"/>
      <c r="C255" s="6" t="s">
        <v>11</v>
      </c>
      <c r="D255" s="7" t="s">
        <v>72</v>
      </c>
      <c r="E255" s="5"/>
      <c r="F255" s="71">
        <f>IF(C255=hops!$B$2,0,find_c(C255,"hops","B2:B1000",2)/100)</f>
        <v>0</v>
      </c>
      <c r="G255" s="56"/>
      <c r="H255" s="79" t="s">
        <v>10</v>
      </c>
      <c r="I255" s="73" t="str">
        <f t="shared" si="7"/>
        <v>-</v>
      </c>
      <c r="O255" s="84">
        <f t="shared" si="6"/>
        <v>26.75</v>
      </c>
      <c r="P255" s="46">
        <v>63.25</v>
      </c>
      <c r="Q255" s="49">
        <v>95.402757797888782</v>
      </c>
      <c r="R255" s="18">
        <v>57.939402031506901</v>
      </c>
      <c r="S255" s="47">
        <v>13.657840170604297</v>
      </c>
      <c r="T255" s="18">
        <v>100</v>
      </c>
      <c r="U255" s="51">
        <v>27.124910455070271</v>
      </c>
      <c r="Y255" s="53"/>
      <c r="Z255" s="53"/>
    </row>
    <row r="256" spans="2:26" x14ac:dyDescent="0.25">
      <c r="B256" s="67"/>
      <c r="C256" s="6" t="s">
        <v>11</v>
      </c>
      <c r="D256" s="7" t="s">
        <v>72</v>
      </c>
      <c r="E256" s="5"/>
      <c r="F256" s="71">
        <f>IF(C256=hops!$B$2,0,find_c(C256,"hops","B2:B1000",2)/100)</f>
        <v>0</v>
      </c>
      <c r="G256" s="56"/>
      <c r="H256" s="79" t="s">
        <v>10</v>
      </c>
      <c r="I256" s="73" t="str">
        <f t="shared" si="7"/>
        <v>-</v>
      </c>
      <c r="O256" s="84">
        <f t="shared" si="6"/>
        <v>26.5</v>
      </c>
      <c r="P256" s="46">
        <v>63.5</v>
      </c>
      <c r="Q256" s="49">
        <v>94.905470922867281</v>
      </c>
      <c r="R256" s="18">
        <v>58.298793129693408</v>
      </c>
      <c r="S256" s="47">
        <v>13.795735947439283</v>
      </c>
      <c r="T256" s="18">
        <v>100</v>
      </c>
      <c r="U256" s="51">
        <v>27.293162991597267</v>
      </c>
      <c r="Y256" s="53"/>
      <c r="Z256" s="53"/>
    </row>
    <row r="257" spans="2:26" x14ac:dyDescent="0.25">
      <c r="B257" s="67"/>
      <c r="C257" s="6" t="s">
        <v>11</v>
      </c>
      <c r="D257" s="7" t="s">
        <v>72</v>
      </c>
      <c r="E257" s="5"/>
      <c r="F257" s="71">
        <f>IF(C257=hops!$B$2,0,find_c(C257,"hops","B2:B1000",2)/100)</f>
        <v>0</v>
      </c>
      <c r="G257" s="56"/>
      <c r="H257" s="79" t="s">
        <v>10</v>
      </c>
      <c r="I257" s="73" t="str">
        <f t="shared" si="7"/>
        <v>-</v>
      </c>
      <c r="O257" s="84">
        <f t="shared" si="6"/>
        <v>26.25</v>
      </c>
      <c r="P257" s="46">
        <v>63.75</v>
      </c>
      <c r="Q257" s="49">
        <v>94.41077615568183</v>
      </c>
      <c r="R257" s="18">
        <v>58.654736769230183</v>
      </c>
      <c r="S257" s="47">
        <v>13.934487075087953</v>
      </c>
      <c r="T257" s="18">
        <v>100</v>
      </c>
      <c r="U257" s="51">
        <v>27.459801565882803</v>
      </c>
      <c r="Y257" s="53"/>
      <c r="Z257" s="53"/>
    </row>
    <row r="258" spans="2:26" x14ac:dyDescent="0.25">
      <c r="B258" s="67"/>
      <c r="C258" s="6" t="s">
        <v>11</v>
      </c>
      <c r="D258" s="7" t="s">
        <v>72</v>
      </c>
      <c r="E258" s="5"/>
      <c r="F258" s="71">
        <f>IF(C258=hops!$B$2,0,find_c(C258,"hops","B2:B1000",2)/100)</f>
        <v>0</v>
      </c>
      <c r="G258" s="56"/>
      <c r="H258" s="79" t="s">
        <v>10</v>
      </c>
      <c r="I258" s="73" t="str">
        <f t="shared" si="7"/>
        <v>-</v>
      </c>
      <c r="O258" s="84">
        <f t="shared" si="6"/>
        <v>26</v>
      </c>
      <c r="P258" s="46">
        <v>64</v>
      </c>
      <c r="Q258" s="49">
        <v>93.918659984970333</v>
      </c>
      <c r="R258" s="18">
        <v>59.007254666430903</v>
      </c>
      <c r="S258" s="47">
        <v>14.07408534859872</v>
      </c>
      <c r="T258" s="18">
        <v>100</v>
      </c>
      <c r="U258" s="51">
        <v>27.624836344636293</v>
      </c>
      <c r="Y258" s="53"/>
      <c r="Z258" s="53"/>
    </row>
    <row r="259" spans="2:26" x14ac:dyDescent="0.25">
      <c r="B259" s="67"/>
      <c r="C259" s="6" t="s">
        <v>11</v>
      </c>
      <c r="D259" s="7" t="s">
        <v>72</v>
      </c>
      <c r="E259" s="5"/>
      <c r="F259" s="71">
        <f>IF(C259=hops!$B$2,0,find_c(C259,"hops","B2:B1000",2)/100)</f>
        <v>0</v>
      </c>
      <c r="G259" s="56"/>
      <c r="H259" s="79" t="s">
        <v>10</v>
      </c>
      <c r="I259" s="73" t="str">
        <f t="shared" si="7"/>
        <v>-</v>
      </c>
      <c r="O259" s="84">
        <f t="shared" ref="O259:O322" si="8">90-P259</f>
        <v>25.75</v>
      </c>
      <c r="P259" s="46">
        <v>64.25</v>
      </c>
      <c r="Q259" s="49">
        <v>93.429108969798676</v>
      </c>
      <c r="R259" s="18">
        <v>59.356368415496455</v>
      </c>
      <c r="S259" s="47">
        <v>14.214522614704826</v>
      </c>
      <c r="T259" s="18">
        <v>100</v>
      </c>
      <c r="U259" s="51">
        <v>27.788277437398818</v>
      </c>
      <c r="Y259" s="53"/>
      <c r="Z259" s="53"/>
    </row>
    <row r="260" spans="2:26" x14ac:dyDescent="0.25">
      <c r="B260" s="67"/>
      <c r="C260" s="6" t="s">
        <v>11</v>
      </c>
      <c r="D260" s="7" t="s">
        <v>72</v>
      </c>
      <c r="E260" s="5"/>
      <c r="F260" s="71">
        <f>IF(C260=hops!$B$2,0,find_c(C260,"hops","B2:B1000",2)/100)</f>
        <v>0</v>
      </c>
      <c r="G260" s="56"/>
      <c r="H260" s="79" t="s">
        <v>10</v>
      </c>
      <c r="I260" s="73" t="str">
        <f t="shared" si="7"/>
        <v>-</v>
      </c>
      <c r="O260" s="84">
        <f t="shared" si="8"/>
        <v>25.5</v>
      </c>
      <c r="P260" s="46">
        <v>64.5</v>
      </c>
      <c r="Q260" s="49">
        <v>92.942109739293599</v>
      </c>
      <c r="R260" s="18">
        <v>59.702099489172653</v>
      </c>
      <c r="S260" s="47">
        <v>14.355790771533707</v>
      </c>
      <c r="T260" s="18">
        <v>100</v>
      </c>
      <c r="U260" s="51">
        <v>27.950134896851068</v>
      </c>
      <c r="Y260" s="53"/>
      <c r="Z260" s="53"/>
    </row>
    <row r="261" spans="2:26" x14ac:dyDescent="0.25">
      <c r="B261" s="67"/>
      <c r="C261" s="6" t="s">
        <v>11</v>
      </c>
      <c r="D261" s="7" t="s">
        <v>72</v>
      </c>
      <c r="E261" s="5"/>
      <c r="F261" s="71">
        <f>IF(C261=hops!$B$2,0,find_c(C261,"hops","B2:B1000",2)/100)</f>
        <v>0</v>
      </c>
      <c r="G261" s="56"/>
      <c r="H261" s="79" t="s">
        <v>10</v>
      </c>
      <c r="I261" s="73" t="str">
        <f t="shared" si="7"/>
        <v>-</v>
      </c>
      <c r="O261" s="84">
        <f t="shared" si="8"/>
        <v>25.25</v>
      </c>
      <c r="P261" s="46">
        <v>64.75</v>
      </c>
      <c r="Q261" s="49">
        <v>92.457648992277527</v>
      </c>
      <c r="R261" s="18">
        <v>60.044469239404485</v>
      </c>
      <c r="S261" s="47">
        <v>14.497881768317939</v>
      </c>
      <c r="T261" s="18">
        <v>100</v>
      </c>
      <c r="U261" s="51">
        <v>28.110418719119604</v>
      </c>
      <c r="Y261" s="53"/>
      <c r="Z261" s="53"/>
    </row>
    <row r="262" spans="2:26" x14ac:dyDescent="0.25">
      <c r="B262" s="67"/>
      <c r="C262" s="6" t="s">
        <v>11</v>
      </c>
      <c r="D262" s="7" t="s">
        <v>72</v>
      </c>
      <c r="E262" s="5"/>
      <c r="F262" s="71">
        <f>IF(C262=hops!$B$2,0,find_c(C262,"hops","B2:B1000",2)/100)</f>
        <v>0</v>
      </c>
      <c r="G262" s="56"/>
      <c r="H262" s="79" t="s">
        <v>10</v>
      </c>
      <c r="I262" s="73" t="str">
        <f t="shared" ref="I262:I325" si="9">IF((H262)="-","-",H262/$K$13)</f>
        <v>-</v>
      </c>
      <c r="O262" s="84">
        <f t="shared" si="8"/>
        <v>25</v>
      </c>
      <c r="P262" s="46">
        <v>65</v>
      </c>
      <c r="Q262" s="49">
        <v>91.975713496905286</v>
      </c>
      <c r="R262" s="18">
        <v>60.383498897986954</v>
      </c>
      <c r="S262" s="47">
        <v>14.640787605107722</v>
      </c>
      <c r="T262" s="18">
        <v>100</v>
      </c>
      <c r="U262" s="51">
        <v>28.269138844081571</v>
      </c>
      <c r="Y262" s="53"/>
      <c r="Z262" s="53"/>
    </row>
    <row r="263" spans="2:26" x14ac:dyDescent="0.25">
      <c r="B263" s="67"/>
      <c r="C263" s="6" t="s">
        <v>11</v>
      </c>
      <c r="D263" s="7" t="s">
        <v>72</v>
      </c>
      <c r="E263" s="5"/>
      <c r="F263" s="71">
        <f>IF(C263=hops!$B$2,0,find_c(C263,"hops","B2:B1000",2)/100)</f>
        <v>0</v>
      </c>
      <c r="G263" s="56"/>
      <c r="H263" s="79" t="s">
        <v>10</v>
      </c>
      <c r="I263" s="73" t="str">
        <f t="shared" si="9"/>
        <v>-</v>
      </c>
      <c r="O263" s="84">
        <f t="shared" si="8"/>
        <v>24.75</v>
      </c>
      <c r="P263" s="46">
        <v>65.25</v>
      </c>
      <c r="Q263" s="49">
        <v>91.496290090302665</v>
      </c>
      <c r="R263" s="18">
        <v>60.719209577212368</v>
      </c>
      <c r="S263" s="47">
        <v>14.784500332484932</v>
      </c>
      <c r="T263" s="18">
        <v>100</v>
      </c>
      <c r="U263" s="51">
        <v>28.426305155667745</v>
      </c>
    </row>
    <row r="264" spans="2:26" x14ac:dyDescent="0.25">
      <c r="B264" s="67"/>
      <c r="C264" s="6" t="s">
        <v>11</v>
      </c>
      <c r="D264" s="7" t="s">
        <v>72</v>
      </c>
      <c r="E264" s="5"/>
      <c r="F264" s="71">
        <f>IF(C264=hops!$B$2,0,find_c(C264,"hops","B2:B1000",2)/100)</f>
        <v>0</v>
      </c>
      <c r="G264" s="56"/>
      <c r="H264" s="79" t="s">
        <v>10</v>
      </c>
      <c r="I264" s="73" t="str">
        <f t="shared" si="9"/>
        <v>-</v>
      </c>
      <c r="O264" s="84">
        <f t="shared" si="8"/>
        <v>24.5</v>
      </c>
      <c r="P264" s="46">
        <v>65.5</v>
      </c>
      <c r="Q264" s="49">
        <v>91.019365678206967</v>
      </c>
      <c r="R264" s="18">
        <v>61.051622270514308</v>
      </c>
      <c r="S264" s="47">
        <v>14.929012051278697</v>
      </c>
      <c r="T264" s="18">
        <v>100</v>
      </c>
      <c r="U264" s="51">
        <v>28.581927482163977</v>
      </c>
    </row>
    <row r="265" spans="2:26" x14ac:dyDescent="0.25">
      <c r="B265" s="67"/>
      <c r="C265" s="6" t="s">
        <v>11</v>
      </c>
      <c r="D265" s="7" t="s">
        <v>72</v>
      </c>
      <c r="E265" s="5"/>
      <c r="F265" s="71">
        <f>IF(C265=hops!$B$2,0,find_c(C265,"hops","B2:B1000",2)/100)</f>
        <v>0</v>
      </c>
      <c r="G265" s="56"/>
      <c r="H265" s="79" t="s">
        <v>10</v>
      </c>
      <c r="I265" s="73" t="str">
        <f t="shared" si="9"/>
        <v>-</v>
      </c>
      <c r="O265" s="84">
        <f t="shared" si="8"/>
        <v>24.25</v>
      </c>
      <c r="P265" s="46">
        <v>65.75</v>
      </c>
      <c r="Q265" s="49">
        <v>90.544927234609318</v>
      </c>
      <c r="R265" s="18">
        <v>61.380757853108136</v>
      </c>
      <c r="S265" s="47">
        <v>15.074314912282521</v>
      </c>
      <c r="T265" s="18">
        <v>100</v>
      </c>
      <c r="U265" s="51">
        <v>28.736015596511105</v>
      </c>
    </row>
    <row r="266" spans="2:26" x14ac:dyDescent="0.25">
      <c r="B266" s="67"/>
      <c r="C266" s="6" t="s">
        <v>11</v>
      </c>
      <c r="D266" s="7" t="s">
        <v>72</v>
      </c>
      <c r="E266" s="5"/>
      <c r="F266" s="71">
        <f>IF(C266=hops!$B$2,0,find_c(C266,"hops","B2:B1000",2)/100)</f>
        <v>0</v>
      </c>
      <c r="G266" s="56"/>
      <c r="H266" s="79" t="s">
        <v>10</v>
      </c>
      <c r="I266" s="73" t="str">
        <f t="shared" si="9"/>
        <v>-</v>
      </c>
      <c r="O266" s="84">
        <f t="shared" si="8"/>
        <v>24</v>
      </c>
      <c r="P266" s="46">
        <v>66</v>
      </c>
      <c r="Q266" s="49">
        <v>90.072961801398918</v>
      </c>
      <c r="R266" s="18">
        <v>61.706637082628141</v>
      </c>
      <c r="S266" s="47">
        <v>15.220401115972919</v>
      </c>
      <c r="T266" s="18">
        <v>100</v>
      </c>
      <c r="U266" s="51">
        <v>28.888579216603187</v>
      </c>
    </row>
    <row r="267" spans="2:26" x14ac:dyDescent="0.25">
      <c r="B267" s="67"/>
      <c r="C267" s="6" t="s">
        <v>11</v>
      </c>
      <c r="D267" s="7" t="s">
        <v>72</v>
      </c>
      <c r="E267" s="5"/>
      <c r="F267" s="71">
        <f>IF(C267=hops!$B$2,0,find_c(C267,"hops","B2:B1000",2)/100)</f>
        <v>0</v>
      </c>
      <c r="G267" s="56"/>
      <c r="H267" s="79" t="s">
        <v>10</v>
      </c>
      <c r="I267" s="73" t="str">
        <f t="shared" si="9"/>
        <v>-</v>
      </c>
      <c r="O267" s="84">
        <f t="shared" si="8"/>
        <v>23.75</v>
      </c>
      <c r="P267" s="46">
        <v>66.25</v>
      </c>
      <c r="Q267" s="49">
        <v>89.60345648800913</v>
      </c>
      <c r="R267" s="18">
        <v>62.029280599761272</v>
      </c>
      <c r="S267" s="47">
        <v>15.367262912229574</v>
      </c>
      <c r="T267" s="18">
        <v>100</v>
      </c>
      <c r="U267" s="51">
        <v>29.039628005584238</v>
      </c>
    </row>
    <row r="268" spans="2:26" x14ac:dyDescent="0.25">
      <c r="B268" s="67"/>
      <c r="C268" s="6" t="s">
        <v>11</v>
      </c>
      <c r="D268" s="7" t="s">
        <v>72</v>
      </c>
      <c r="E268" s="5"/>
      <c r="F268" s="71">
        <f>IF(C268=hops!$B$2,0,find_c(C268,"hops","B2:B1000",2)/100)</f>
        <v>0</v>
      </c>
      <c r="G268" s="56"/>
      <c r="H268" s="79" t="s">
        <v>10</v>
      </c>
      <c r="I268" s="73" t="str">
        <f t="shared" si="9"/>
        <v>-</v>
      </c>
      <c r="O268" s="84">
        <f t="shared" si="8"/>
        <v>23.5</v>
      </c>
      <c r="P268" s="46">
        <v>66.5</v>
      </c>
      <c r="Q268" s="49">
        <v>89.136398471065377</v>
      </c>
      <c r="R268" s="18">
        <v>62.348708928877585</v>
      </c>
      <c r="S268" s="47">
        <v>15.514892600057006</v>
      </c>
      <c r="T268" s="18">
        <v>100</v>
      </c>
      <c r="U268" s="51">
        <v>29.18917157214333</v>
      </c>
    </row>
    <row r="269" spans="2:26" x14ac:dyDescent="0.25">
      <c r="B269" s="67"/>
      <c r="C269" s="6" t="s">
        <v>11</v>
      </c>
      <c r="D269" s="7" t="s">
        <v>72</v>
      </c>
      <c r="E269" s="5"/>
      <c r="F269" s="71">
        <f>IF(C269=hops!$B$2,0,find_c(C269,"hops","B2:B1000",2)/100)</f>
        <v>0</v>
      </c>
      <c r="G269" s="56"/>
      <c r="H269" s="79" t="s">
        <v>10</v>
      </c>
      <c r="I269" s="73" t="str">
        <f t="shared" si="9"/>
        <v>-</v>
      </c>
      <c r="O269" s="84">
        <f t="shared" si="8"/>
        <v>23.25</v>
      </c>
      <c r="P269" s="46">
        <v>66.75</v>
      </c>
      <c r="Q269" s="49">
        <v>88.671774994034948</v>
      </c>
      <c r="R269" s="18">
        <v>62.664942478657288</v>
      </c>
      <c r="S269" s="47">
        <v>15.663282527307736</v>
      </c>
      <c r="T269" s="18">
        <v>100</v>
      </c>
      <c r="U269" s="51">
        <v>29.337219470808193</v>
      </c>
    </row>
    <row r="270" spans="2:26" x14ac:dyDescent="0.25">
      <c r="B270" s="67"/>
      <c r="C270" s="6" t="s">
        <v>11</v>
      </c>
      <c r="D270" s="7" t="s">
        <v>72</v>
      </c>
      <c r="E270" s="5"/>
      <c r="F270" s="71">
        <f>IF(C270=hops!$B$2,0,find_c(C270,"hops","B2:B1000",2)/100)</f>
        <v>0</v>
      </c>
      <c r="G270" s="56"/>
      <c r="H270" s="79" t="s">
        <v>10</v>
      </c>
      <c r="I270" s="73" t="str">
        <f t="shared" si="9"/>
        <v>-</v>
      </c>
      <c r="O270" s="84">
        <f t="shared" si="8"/>
        <v>23</v>
      </c>
      <c r="P270" s="46">
        <v>67</v>
      </c>
      <c r="Q270" s="49">
        <v>88.209573366878544</v>
      </c>
      <c r="R270" s="18">
        <v>62.978001542714495</v>
      </c>
      <c r="S270" s="47">
        <v>15.81242509040694</v>
      </c>
      <c r="T270" s="18">
        <v>100</v>
      </c>
      <c r="U270" s="51">
        <v>29.483781202237218</v>
      </c>
    </row>
    <row r="271" spans="2:26" x14ac:dyDescent="0.25">
      <c r="B271" s="67"/>
      <c r="C271" s="6" t="s">
        <v>11</v>
      </c>
      <c r="D271" s="7" t="s">
        <v>72</v>
      </c>
      <c r="E271" s="5"/>
      <c r="F271" s="71">
        <f>IF(C271=hops!$B$2,0,find_c(C271,"hops","B2:B1000",2)/100)</f>
        <v>0</v>
      </c>
      <c r="G271" s="56"/>
      <c r="H271" s="79" t="s">
        <v>10</v>
      </c>
      <c r="I271" s="73" t="str">
        <f t="shared" si="9"/>
        <v>-</v>
      </c>
      <c r="O271" s="84">
        <f t="shared" si="8"/>
        <v>22.75</v>
      </c>
      <c r="P271" s="46">
        <v>67.25</v>
      </c>
      <c r="Q271" s="49">
        <v>87.749780965703692</v>
      </c>
      <c r="R271" s="18">
        <v>63.287906300217685</v>
      </c>
      <c r="S271" s="47">
        <v>15.962312734078601</v>
      </c>
      <c r="T271" s="18">
        <v>100</v>
      </c>
      <c r="U271" s="51">
        <v>29.628866213509912</v>
      </c>
    </row>
    <row r="272" spans="2:26" x14ac:dyDescent="0.25">
      <c r="B272" s="67"/>
      <c r="C272" s="6" t="s">
        <v>11</v>
      </c>
      <c r="D272" s="7" t="s">
        <v>72</v>
      </c>
      <c r="E272" s="5"/>
      <c r="F272" s="71">
        <f>IF(C272=hops!$B$2,0,find_c(C272,"hops","B2:B1000",2)/100)</f>
        <v>0</v>
      </c>
      <c r="G272" s="56"/>
      <c r="H272" s="79" t="s">
        <v>10</v>
      </c>
      <c r="I272" s="73" t="str">
        <f t="shared" si="9"/>
        <v>-</v>
      </c>
      <c r="O272" s="84">
        <f t="shared" si="8"/>
        <v>22.5</v>
      </c>
      <c r="P272" s="46">
        <v>67.5</v>
      </c>
      <c r="Q272" s="49">
        <v>87.29238523241996</v>
      </c>
      <c r="R272" s="18">
        <v>63.594676816506897</v>
      </c>
      <c r="S272" s="47">
        <v>16.112937951073118</v>
      </c>
      <c r="T272" s="18">
        <v>100</v>
      </c>
      <c r="U272" s="51">
        <v>29.772483898415867</v>
      </c>
    </row>
    <row r="273" spans="2:21" x14ac:dyDescent="0.25">
      <c r="B273" s="67"/>
      <c r="C273" s="6" t="s">
        <v>11</v>
      </c>
      <c r="D273" s="7" t="s">
        <v>72</v>
      </c>
      <c r="E273" s="5"/>
      <c r="F273" s="71">
        <f>IF(C273=hops!$B$2,0,find_c(C273,"hops","B2:B1000",2)/100)</f>
        <v>0</v>
      </c>
      <c r="G273" s="56"/>
      <c r="H273" s="79" t="s">
        <v>10</v>
      </c>
      <c r="I273" s="73" t="str">
        <f t="shared" si="9"/>
        <v>-</v>
      </c>
      <c r="O273" s="84">
        <f t="shared" si="8"/>
        <v>22.25</v>
      </c>
      <c r="P273" s="46">
        <v>67.75</v>
      </c>
      <c r="Q273" s="49">
        <v>86.837373674395977</v>
      </c>
      <c r="R273" s="18">
        <v>63.898333043707602</v>
      </c>
      <c r="S273" s="47">
        <v>16.264293281896403</v>
      </c>
      <c r="T273" s="18">
        <v>100</v>
      </c>
      <c r="U273" s="51">
        <v>29.914643597742149</v>
      </c>
    </row>
    <row r="274" spans="2:21" x14ac:dyDescent="0.25">
      <c r="B274" s="67"/>
      <c r="C274" s="6" t="s">
        <v>11</v>
      </c>
      <c r="D274" s="7" t="s">
        <v>72</v>
      </c>
      <c r="E274" s="5"/>
      <c r="F274" s="71">
        <f>IF(C274=hops!$B$2,0,find_c(C274,"hops","B2:B1000",2)/100)</f>
        <v>0</v>
      </c>
      <c r="G274" s="56"/>
      <c r="H274" s="79" t="s">
        <v>10</v>
      </c>
      <c r="I274" s="73" t="str">
        <f t="shared" si="9"/>
        <v>-</v>
      </c>
      <c r="O274" s="84">
        <f t="shared" si="8"/>
        <v>22</v>
      </c>
      <c r="P274" s="46">
        <v>68</v>
      </c>
      <c r="Q274" s="49">
        <v>86.384733864118189</v>
      </c>
      <c r="R274" s="18">
        <v>64.198894821341369</v>
      </c>
      <c r="S274" s="47">
        <v>16.416371314540427</v>
      </c>
      <c r="T274" s="18">
        <v>100</v>
      </c>
      <c r="U274" s="51">
        <v>30.055354599559177</v>
      </c>
    </row>
    <row r="275" spans="2:21" x14ac:dyDescent="0.25">
      <c r="B275" s="67"/>
      <c r="C275" s="6" t="s">
        <v>11</v>
      </c>
      <c r="D275" s="7" t="s">
        <v>72</v>
      </c>
      <c r="E275" s="5"/>
      <c r="F275" s="71">
        <f>IF(C275=hops!$B$2,0,find_c(C275,"hops","B2:B1000",2)/100)</f>
        <v>0</v>
      </c>
      <c r="G275" s="56"/>
      <c r="H275" s="79" t="s">
        <v>10</v>
      </c>
      <c r="I275" s="73" t="str">
        <f t="shared" si="9"/>
        <v>-</v>
      </c>
      <c r="O275" s="84">
        <f t="shared" si="8"/>
        <v>21.75</v>
      </c>
      <c r="P275" s="46">
        <v>68.25</v>
      </c>
      <c r="Q275" s="49">
        <v>85.934453438851477</v>
      </c>
      <c r="R275" s="18">
        <v>64.496381876933285</v>
      </c>
      <c r="S275" s="47">
        <v>16.56916468421522</v>
      </c>
      <c r="T275" s="18">
        <v>100</v>
      </c>
      <c r="U275" s="51">
        <v>30.194626139505086</v>
      </c>
    </row>
    <row r="276" spans="2:21" x14ac:dyDescent="0.25">
      <c r="B276" s="67"/>
      <c r="C276" s="6" t="s">
        <v>11</v>
      </c>
      <c r="D276" s="7" t="s">
        <v>72</v>
      </c>
      <c r="E276" s="5"/>
      <c r="F276" s="71">
        <f>IF(C276=hops!$B$2,0,find_c(C276,"hops","B2:B1000",2)/100)</f>
        <v>0</v>
      </c>
      <c r="G276" s="56"/>
      <c r="H276" s="79" t="s">
        <v>10</v>
      </c>
      <c r="I276" s="73" t="str">
        <f t="shared" si="9"/>
        <v>-</v>
      </c>
      <c r="O276" s="84">
        <f t="shared" si="8"/>
        <v>21.5</v>
      </c>
      <c r="P276" s="46">
        <v>68.5</v>
      </c>
      <c r="Q276" s="49">
        <v>85.486520100301462</v>
      </c>
      <c r="R276" s="18">
        <v>64.790813826616201</v>
      </c>
      <c r="S276" s="47">
        <v>16.722666073082323</v>
      </c>
      <c r="T276" s="18">
        <v>100</v>
      </c>
      <c r="U276" s="51">
        <v>30.332467401068641</v>
      </c>
    </row>
    <row r="277" spans="2:21" x14ac:dyDescent="0.25">
      <c r="B277" s="67"/>
      <c r="C277" s="6" t="s">
        <v>11</v>
      </c>
      <c r="D277" s="7" t="s">
        <v>72</v>
      </c>
      <c r="E277" s="5"/>
      <c r="F277" s="71">
        <f>IF(C277=hops!$B$2,0,find_c(C277,"hops","B2:B1000",2)/100)</f>
        <v>0</v>
      </c>
      <c r="G277" s="56"/>
      <c r="H277" s="79" t="s">
        <v>10</v>
      </c>
      <c r="I277" s="73" t="str">
        <f t="shared" si="9"/>
        <v>-</v>
      </c>
      <c r="O277" s="84">
        <f t="shared" si="8"/>
        <v>21.25</v>
      </c>
      <c r="P277" s="46">
        <v>68.75</v>
      </c>
      <c r="Q277" s="49">
        <v>85.040921614278645</v>
      </c>
      <c r="R277" s="18">
        <v>65.082210175731674</v>
      </c>
      <c r="S277" s="47">
        <v>16.87686820998967</v>
      </c>
      <c r="T277" s="18">
        <v>100</v>
      </c>
      <c r="U277" s="51">
        <v>30.468887515870541</v>
      </c>
    </row>
    <row r="278" spans="2:21" x14ac:dyDescent="0.25">
      <c r="B278" s="67"/>
      <c r="C278" s="6" t="s">
        <v>11</v>
      </c>
      <c r="D278" s="7" t="s">
        <v>72</v>
      </c>
      <c r="E278" s="5"/>
      <c r="F278" s="71">
        <f>IF(C278=hops!$B$2,0,find_c(C278,"hops","B2:B1000",2)/100)</f>
        <v>0</v>
      </c>
      <c r="G278" s="56"/>
      <c r="H278" s="79" t="s">
        <v>10</v>
      </c>
      <c r="I278" s="73" t="str">
        <f t="shared" si="9"/>
        <v>-</v>
      </c>
      <c r="O278" s="84">
        <f t="shared" si="8"/>
        <v>21</v>
      </c>
      <c r="P278" s="46">
        <v>69</v>
      </c>
      <c r="Q278" s="49">
        <v>84.597645810364213</v>
      </c>
      <c r="R278" s="18">
        <v>65.370590319427862</v>
      </c>
      <c r="S278" s="47">
        <v>17.031763870207911</v>
      </c>
      <c r="T278" s="18">
        <v>100</v>
      </c>
      <c r="U278" s="51">
        <v>30.603895563943347</v>
      </c>
    </row>
    <row r="279" spans="2:21" x14ac:dyDescent="0.25">
      <c r="B279" s="67"/>
      <c r="C279" s="6" t="s">
        <v>11</v>
      </c>
      <c r="D279" s="7" t="s">
        <v>72</v>
      </c>
      <c r="E279" s="5"/>
      <c r="F279" s="71">
        <f>IF(C279=hops!$B$2,0,find_c(C279,"hops","B2:B1000",2)/100)</f>
        <v>0</v>
      </c>
      <c r="G279" s="56"/>
      <c r="H279" s="79" t="s">
        <v>10</v>
      </c>
      <c r="I279" s="73" t="str">
        <f t="shared" si="9"/>
        <v>-</v>
      </c>
      <c r="O279" s="84">
        <f t="shared" si="8"/>
        <v>20.75</v>
      </c>
      <c r="P279" s="46">
        <v>69.25</v>
      </c>
      <c r="Q279" s="49">
        <v>84.156680581577689</v>
      </c>
      <c r="R279" s="18">
        <v>65.655973543254149</v>
      </c>
      <c r="S279" s="47">
        <v>17.187345875168148</v>
      </c>
      <c r="T279" s="18">
        <v>100</v>
      </c>
      <c r="U279" s="51">
        <v>30.737500574009864</v>
      </c>
    </row>
    <row r="280" spans="2:21" x14ac:dyDescent="0.25">
      <c r="B280" s="67"/>
      <c r="C280" s="6" t="s">
        <v>11</v>
      </c>
      <c r="D280" s="7" t="s">
        <v>72</v>
      </c>
      <c r="E280" s="5"/>
      <c r="F280" s="71">
        <f>IF(C280=hops!$B$2,0,find_c(C280,"hops","B2:B1000",2)/100)</f>
        <v>0</v>
      </c>
      <c r="G280" s="56"/>
      <c r="H280" s="79" t="s">
        <v>10</v>
      </c>
      <c r="I280" s="73" t="str">
        <f t="shared" si="9"/>
        <v>-</v>
      </c>
      <c r="O280" s="84">
        <f t="shared" si="8"/>
        <v>20.5</v>
      </c>
      <c r="P280" s="46">
        <v>69.5</v>
      </c>
      <c r="Q280" s="49">
        <v>83.718013884046215</v>
      </c>
      <c r="R280" s="18">
        <v>65.938379023752674</v>
      </c>
      <c r="S280" s="47">
        <v>17.343607092201093</v>
      </c>
      <c r="T280" s="18">
        <v>100</v>
      </c>
      <c r="U280" s="51">
        <v>30.869711523760053</v>
      </c>
    </row>
    <row r="281" spans="2:21" x14ac:dyDescent="0.25">
      <c r="B281" s="67"/>
      <c r="C281" s="6" t="s">
        <v>11</v>
      </c>
      <c r="D281" s="7" t="s">
        <v>72</v>
      </c>
      <c r="E281" s="5"/>
      <c r="F281" s="71">
        <f>IF(C281=hops!$B$2,0,find_c(C281,"hops","B2:B1000",2)/100)</f>
        <v>0</v>
      </c>
      <c r="G281" s="56"/>
      <c r="H281" s="79" t="s">
        <v>10</v>
      </c>
      <c r="I281" s="73" t="str">
        <f t="shared" si="9"/>
        <v>-</v>
      </c>
      <c r="O281" s="84">
        <f t="shared" si="8"/>
        <v>20.25</v>
      </c>
      <c r="P281" s="46">
        <v>69.75</v>
      </c>
      <c r="Q281" s="49">
        <v>83.28163373667563</v>
      </c>
      <c r="R281" s="18">
        <v>66.217825829046731</v>
      </c>
      <c r="S281" s="47">
        <v>17.500540434277625</v>
      </c>
      <c r="T281" s="18">
        <v>100</v>
      </c>
      <c r="U281" s="51">
        <v>31.00053734012652</v>
      </c>
    </row>
    <row r="282" spans="2:21" x14ac:dyDescent="0.25">
      <c r="B282" s="67"/>
      <c r="C282" s="6" t="s">
        <v>11</v>
      </c>
      <c r="D282" s="7" t="s">
        <v>72</v>
      </c>
      <c r="E282" s="5"/>
      <c r="F282" s="71">
        <f>IF(C282=hops!$B$2,0,find_c(C282,"hops","B2:B1000",2)/100)</f>
        <v>0</v>
      </c>
      <c r="G282" s="56"/>
      <c r="H282" s="79" t="s">
        <v>10</v>
      </c>
      <c r="I282" s="73" t="str">
        <f t="shared" si="9"/>
        <v>-</v>
      </c>
      <c r="O282" s="84">
        <f t="shared" si="8"/>
        <v>20</v>
      </c>
      <c r="P282" s="46">
        <v>70</v>
      </c>
      <c r="Q282" s="49">
        <v>82.847528220823207</v>
      </c>
      <c r="R282" s="18">
        <v>66.494332919426029</v>
      </c>
      <c r="S282" s="47">
        <v>17.658138859750757</v>
      </c>
      <c r="T282" s="18">
        <v>100</v>
      </c>
      <c r="U282" s="51">
        <v>31.129986899558492</v>
      </c>
    </row>
    <row r="283" spans="2:21" x14ac:dyDescent="0.25">
      <c r="B283" s="67"/>
      <c r="C283" s="6" t="s">
        <v>11</v>
      </c>
      <c r="D283" s="7" t="s">
        <v>72</v>
      </c>
      <c r="E283" s="5"/>
      <c r="F283" s="71">
        <f>IF(C283=hops!$B$2,0,find_c(C283,"hops","B2:B1000",2)/100)</f>
        <v>0</v>
      </c>
      <c r="G283" s="56"/>
      <c r="H283" s="79" t="s">
        <v>10</v>
      </c>
      <c r="I283" s="73" t="str">
        <f t="shared" si="9"/>
        <v>-</v>
      </c>
      <c r="O283" s="84">
        <f t="shared" si="8"/>
        <v>19.75</v>
      </c>
      <c r="P283" s="46">
        <v>70.25</v>
      </c>
      <c r="Q283" s="49">
        <v>82.415685479972169</v>
      </c>
      <c r="R283" s="18">
        <v>66.767919147928836</v>
      </c>
      <c r="S283" s="47">
        <v>17.816395372098992</v>
      </c>
      <c r="T283" s="18">
        <v>100</v>
      </c>
      <c r="U283" s="51">
        <v>31.258069028294361</v>
      </c>
    </row>
    <row r="284" spans="2:21" x14ac:dyDescent="0.25">
      <c r="B284" s="67"/>
      <c r="C284" s="6" t="s">
        <v>11</v>
      </c>
      <c r="D284" s="7" t="s">
        <v>72</v>
      </c>
      <c r="E284" s="5"/>
      <c r="F284" s="71">
        <f>IF(C284=hops!$B$2,0,find_c(C284,"hops","B2:B1000",2)/100)</f>
        <v>0</v>
      </c>
      <c r="G284" s="56"/>
      <c r="H284" s="79" t="s">
        <v>10</v>
      </c>
      <c r="I284" s="73" t="str">
        <f t="shared" si="9"/>
        <v>-</v>
      </c>
      <c r="O284" s="84">
        <f t="shared" si="8"/>
        <v>19.5</v>
      </c>
      <c r="P284" s="46">
        <v>70.5</v>
      </c>
      <c r="Q284" s="49">
        <v>81.986093719407819</v>
      </c>
      <c r="R284" s="18">
        <v>67.038603260921121</v>
      </c>
      <c r="S284" s="47">
        <v>17.975303019671063</v>
      </c>
      <c r="T284" s="18">
        <v>100</v>
      </c>
      <c r="U284" s="51">
        <v>31.38479250263283</v>
      </c>
    </row>
    <row r="285" spans="2:21" x14ac:dyDescent="0.25">
      <c r="B285" s="67"/>
      <c r="C285" s="6" t="s">
        <v>11</v>
      </c>
      <c r="D285" s="7" t="s">
        <v>72</v>
      </c>
      <c r="E285" s="5"/>
      <c r="F285" s="71">
        <f>IF(C285=hops!$B$2,0,find_c(C285,"hops","B2:B1000",2)/100)</f>
        <v>0</v>
      </c>
      <c r="G285" s="56"/>
      <c r="H285" s="79" t="s">
        <v>10</v>
      </c>
      <c r="I285" s="73" t="str">
        <f t="shared" si="9"/>
        <v>-</v>
      </c>
      <c r="O285" s="84">
        <f t="shared" si="8"/>
        <v>19.25</v>
      </c>
      <c r="P285" s="46">
        <v>70.75</v>
      </c>
      <c r="Q285" s="49">
        <v>81.558741205895402</v>
      </c>
      <c r="R285" s="18">
        <v>67.306403898672542</v>
      </c>
      <c r="S285" s="47">
        <v>18.134854895432056</v>
      </c>
      <c r="T285" s="18">
        <v>100</v>
      </c>
      <c r="U285" s="51">
        <v>31.510166049202535</v>
      </c>
    </row>
    <row r="286" spans="2:21" x14ac:dyDescent="0.25">
      <c r="B286" s="67"/>
      <c r="C286" s="6" t="s">
        <v>11</v>
      </c>
      <c r="D286" s="7" t="s">
        <v>72</v>
      </c>
      <c r="E286" s="5"/>
      <c r="F286" s="71">
        <f>IF(C286=hops!$B$2,0,find_c(C286,"hops","B2:B1000",2)/100)</f>
        <v>0</v>
      </c>
      <c r="G286" s="56"/>
      <c r="H286" s="79" t="s">
        <v>10</v>
      </c>
      <c r="I286" s="73" t="str">
        <f t="shared" si="9"/>
        <v>-</v>
      </c>
      <c r="O286" s="84">
        <f t="shared" si="8"/>
        <v>19</v>
      </c>
      <c r="P286" s="46">
        <v>71</v>
      </c>
      <c r="Q286" s="49">
        <v>81.13361626735967</v>
      </c>
      <c r="R286" s="18">
        <v>67.57133959592943</v>
      </c>
      <c r="S286" s="47">
        <v>18.295044136710896</v>
      </c>
      <c r="T286" s="18">
        <v>100</v>
      </c>
      <c r="U286" s="51">
        <v>31.634198345230324</v>
      </c>
    </row>
    <row r="287" spans="2:21" x14ac:dyDescent="0.25">
      <c r="B287" s="67"/>
      <c r="C287" s="6" t="s">
        <v>11</v>
      </c>
      <c r="D287" s="7" t="s">
        <v>72</v>
      </c>
      <c r="E287" s="5"/>
      <c r="F287" s="71">
        <f>IF(C287=hops!$B$2,0,find_c(C287,"hops","B2:B1000",2)/100)</f>
        <v>0</v>
      </c>
      <c r="G287" s="56"/>
      <c r="H287" s="79" t="s">
        <v>10</v>
      </c>
      <c r="I287" s="73" t="str">
        <f t="shared" si="9"/>
        <v>-</v>
      </c>
      <c r="O287" s="84">
        <f t="shared" si="8"/>
        <v>18.75</v>
      </c>
      <c r="P287" s="46">
        <v>71.25</v>
      </c>
      <c r="Q287" s="49">
        <v>80.710707292566056</v>
      </c>
      <c r="R287" s="18">
        <v>67.833428782484731</v>
      </c>
      <c r="S287" s="47">
        <v>18.45586392494921</v>
      </c>
      <c r="T287" s="18">
        <v>100</v>
      </c>
      <c r="U287" s="51">
        <v>31.756898018808048</v>
      </c>
    </row>
    <row r="288" spans="2:21" x14ac:dyDescent="0.25">
      <c r="B288" s="67"/>
      <c r="C288" s="6" t="s">
        <v>11</v>
      </c>
      <c r="D288" s="7" t="s">
        <v>72</v>
      </c>
      <c r="E288" s="5"/>
      <c r="F288" s="71">
        <f>IF(C288=hops!$B$2,0,find_c(C288,"hops","B2:B1000",2)/100)</f>
        <v>0</v>
      </c>
      <c r="G288" s="56"/>
      <c r="H288" s="79" t="s">
        <v>10</v>
      </c>
      <c r="I288" s="73" t="str">
        <f t="shared" si="9"/>
        <v>-</v>
      </c>
      <c r="O288" s="84">
        <f t="shared" si="8"/>
        <v>18.5</v>
      </c>
      <c r="P288" s="46">
        <v>71.5</v>
      </c>
      <c r="Q288" s="49">
        <v>80.29000273080355</v>
      </c>
      <c r="R288" s="18">
        <v>68.092689783744916</v>
      </c>
      <c r="S288" s="47">
        <v>18.617307485451523</v>
      </c>
      <c r="T288" s="18">
        <v>100</v>
      </c>
      <c r="U288" s="51">
        <v>31.878273649158022</v>
      </c>
    </row>
    <row r="289" spans="2:21" x14ac:dyDescent="0.25">
      <c r="B289" s="67"/>
      <c r="C289" s="6" t="s">
        <v>11</v>
      </c>
      <c r="D289" s="7" t="s">
        <v>72</v>
      </c>
      <c r="E289" s="5"/>
      <c r="F289" s="71">
        <f>IF(C289=hops!$B$2,0,find_c(C289,"hops","B2:B1000",2)/100)</f>
        <v>0</v>
      </c>
      <c r="G289" s="56"/>
      <c r="H289" s="79" t="s">
        <v>10</v>
      </c>
      <c r="I289" s="73" t="str">
        <f t="shared" si="9"/>
        <v>-</v>
      </c>
      <c r="O289" s="84">
        <f t="shared" si="8"/>
        <v>18.25</v>
      </c>
      <c r="P289" s="46">
        <v>71.75</v>
      </c>
      <c r="Q289" s="49">
        <v>79.87149109156924</v>
      </c>
      <c r="R289" s="18">
        <v>68.349140821293915</v>
      </c>
      <c r="S289" s="47">
        <v>18.779368087136834</v>
      </c>
      <c r="T289" s="18">
        <v>100</v>
      </c>
      <c r="U289" s="51">
        <v>31.998333766896959</v>
      </c>
    </row>
    <row r="290" spans="2:21" x14ac:dyDescent="0.25">
      <c r="B290" s="67"/>
      <c r="C290" s="6" t="s">
        <v>11</v>
      </c>
      <c r="D290" s="7" t="s">
        <v>72</v>
      </c>
      <c r="E290" s="5"/>
      <c r="F290" s="71">
        <f>IF(C290=hops!$B$2,0,find_c(C290,"hops","B2:B1000",2)/100)</f>
        <v>0</v>
      </c>
      <c r="G290" s="56"/>
      <c r="H290" s="79" t="s">
        <v>10</v>
      </c>
      <c r="I290" s="73" t="str">
        <f t="shared" si="9"/>
        <v>-</v>
      </c>
      <c r="O290" s="84">
        <f t="shared" si="8"/>
        <v>18</v>
      </c>
      <c r="P290" s="46">
        <v>72</v>
      </c>
      <c r="Q290" s="49">
        <v>79.45516094425443</v>
      </c>
      <c r="R290" s="18">
        <v>68.602800013454043</v>
      </c>
      <c r="S290" s="47">
        <v>18.942039042291515</v>
      </c>
      <c r="T290" s="18">
        <v>100</v>
      </c>
      <c r="U290" s="51">
        <v>32.117086854298648</v>
      </c>
    </row>
    <row r="291" spans="2:21" x14ac:dyDescent="0.25">
      <c r="B291" s="67"/>
      <c r="C291" s="6" t="s">
        <v>11</v>
      </c>
      <c r="D291" s="7" t="s">
        <v>72</v>
      </c>
      <c r="E291" s="5"/>
      <c r="F291" s="71">
        <f>IF(C291=hops!$B$2,0,find_c(C291,"hops","B2:B1000",2)/100)</f>
        <v>0</v>
      </c>
      <c r="G291" s="56"/>
      <c r="H291" s="79" t="s">
        <v>10</v>
      </c>
      <c r="I291" s="73" t="str">
        <f t="shared" si="9"/>
        <v>-</v>
      </c>
      <c r="O291" s="84">
        <f t="shared" si="8"/>
        <v>17.75</v>
      </c>
      <c r="P291" s="46">
        <v>72.25</v>
      </c>
      <c r="Q291" s="49">
        <v>79.041000917832505</v>
      </c>
      <c r="R291" s="18">
        <v>68.853685375843952</v>
      </c>
      <c r="S291" s="47">
        <v>19.105313706323535</v>
      </c>
      <c r="T291" s="18">
        <v>100</v>
      </c>
      <c r="U291" s="51">
        <v>32.234541345555101</v>
      </c>
    </row>
    <row r="292" spans="2:21" x14ac:dyDescent="0.25">
      <c r="B292" s="67"/>
      <c r="C292" s="6" t="s">
        <v>11</v>
      </c>
      <c r="D292" s="7" t="s">
        <v>72</v>
      </c>
      <c r="E292" s="5"/>
      <c r="F292" s="71">
        <f>IF(C292=hops!$B$2,0,find_c(C292,"hops","B2:B1000",2)/100)</f>
        <v>0</v>
      </c>
      <c r="G292" s="56"/>
      <c r="H292" s="79" t="s">
        <v>10</v>
      </c>
      <c r="I292" s="73" t="str">
        <f t="shared" si="9"/>
        <v>-</v>
      </c>
      <c r="O292" s="84">
        <f t="shared" si="8"/>
        <v>17.5</v>
      </c>
      <c r="P292" s="46">
        <v>72.5</v>
      </c>
      <c r="Q292" s="49">
        <v>78.628999700548306</v>
      </c>
      <c r="R292" s="18">
        <v>69.101814821933644</v>
      </c>
      <c r="S292" s="47">
        <v>19.269185477518043</v>
      </c>
      <c r="T292" s="18">
        <v>100</v>
      </c>
      <c r="U292" s="51">
        <v>32.350705627036454</v>
      </c>
    </row>
    <row r="293" spans="2:21" x14ac:dyDescent="0.25">
      <c r="B293" s="67"/>
      <c r="C293" s="6" t="s">
        <v>11</v>
      </c>
      <c r="D293" s="7" t="s">
        <v>72</v>
      </c>
      <c r="E293" s="5"/>
      <c r="F293" s="71">
        <f>IF(C293=hops!$B$2,0,find_c(C293,"hops","B2:B1000",2)/100)</f>
        <v>0</v>
      </c>
      <c r="G293" s="56"/>
      <c r="H293" s="79" t="s">
        <v>10</v>
      </c>
      <c r="I293" s="73" t="str">
        <f t="shared" si="9"/>
        <v>-</v>
      </c>
      <c r="O293" s="84">
        <f t="shared" si="8"/>
        <v>17.25</v>
      </c>
      <c r="P293" s="46">
        <v>72.75</v>
      </c>
      <c r="Q293" s="49">
        <v>78.2191460396092</v>
      </c>
      <c r="R293" s="18">
        <v>69.347206163596553</v>
      </c>
      <c r="S293" s="47">
        <v>19.433647796794244</v>
      </c>
      <c r="T293" s="18">
        <v>100</v>
      </c>
      <c r="U293" s="51">
        <v>32.46558803754936</v>
      </c>
    </row>
    <row r="294" spans="2:21" x14ac:dyDescent="0.25">
      <c r="B294" s="67"/>
      <c r="C294" s="6" t="s">
        <v>11</v>
      </c>
      <c r="D294" s="7" t="s">
        <v>72</v>
      </c>
      <c r="E294" s="5"/>
      <c r="F294" s="71">
        <f>IF(C294=hops!$B$2,0,find_c(C294,"hops","B2:B1000",2)/100)</f>
        <v>0</v>
      </c>
      <c r="G294" s="56"/>
      <c r="H294" s="79" t="s">
        <v>10</v>
      </c>
      <c r="I294" s="73" t="str">
        <f t="shared" si="9"/>
        <v>-</v>
      </c>
      <c r="O294" s="84">
        <f t="shared" si="8"/>
        <v>17</v>
      </c>
      <c r="P294" s="46">
        <v>73</v>
      </c>
      <c r="Q294" s="49">
        <v>77.81142874087773</v>
      </c>
      <c r="R294" s="18">
        <v>69.589877111658666</v>
      </c>
      <c r="S294" s="47">
        <v>19.598694147463604</v>
      </c>
      <c r="T294" s="18">
        <v>100</v>
      </c>
      <c r="U294" s="51">
        <v>32.579196868594124</v>
      </c>
    </row>
    <row r="295" spans="2:21" x14ac:dyDescent="0.25">
      <c r="B295" s="67"/>
      <c r="C295" s="6" t="s">
        <v>11</v>
      </c>
      <c r="D295" s="7" t="s">
        <v>72</v>
      </c>
      <c r="E295" s="5"/>
      <c r="F295" s="71">
        <f>IF(C295=hops!$B$2,0,find_c(C295,"hops","B2:B1000",2)/100)</f>
        <v>0</v>
      </c>
      <c r="G295" s="56"/>
      <c r="H295" s="79" t="s">
        <v>10</v>
      </c>
      <c r="I295" s="73" t="str">
        <f t="shared" si="9"/>
        <v>-</v>
      </c>
      <c r="O295" s="84">
        <f t="shared" si="8"/>
        <v>16.75</v>
      </c>
      <c r="P295" s="46">
        <v>73.25</v>
      </c>
      <c r="Q295" s="49">
        <v>77.405836668565911</v>
      </c>
      <c r="R295" s="18">
        <v>69.829845276444743</v>
      </c>
      <c r="S295" s="47">
        <v>19.764318054989353</v>
      </c>
      <c r="T295" s="18">
        <v>100</v>
      </c>
      <c r="U295" s="51">
        <v>32.691540364620373</v>
      </c>
    </row>
    <row r="296" spans="2:21" x14ac:dyDescent="0.25">
      <c r="B296" s="67"/>
      <c r="C296" s="6" t="s">
        <v>11</v>
      </c>
      <c r="D296" s="7" t="s">
        <v>72</v>
      </c>
      <c r="E296" s="5"/>
      <c r="F296" s="71">
        <f>IF(C296=hops!$B$2,0,find_c(C296,"hops","B2:B1000",2)/100)</f>
        <v>0</v>
      </c>
      <c r="G296" s="56"/>
      <c r="H296" s="79" t="s">
        <v>10</v>
      </c>
      <c r="I296" s="73" t="str">
        <f t="shared" si="9"/>
        <v>-</v>
      </c>
      <c r="O296" s="84">
        <f t="shared" si="8"/>
        <v>16.5</v>
      </c>
      <c r="P296" s="46">
        <v>73.5</v>
      </c>
      <c r="Q296" s="49">
        <v>77.002358744931016</v>
      </c>
      <c r="R296" s="18">
        <v>70.067128168321702</v>
      </c>
      <c r="S296" s="47">
        <v>19.93051308674729</v>
      </c>
      <c r="T296" s="18">
        <v>100</v>
      </c>
      <c r="U296" s="51">
        <v>32.802626723281492</v>
      </c>
    </row>
    <row r="297" spans="2:21" x14ac:dyDescent="0.25">
      <c r="B297" s="67"/>
      <c r="C297" s="6" t="s">
        <v>11</v>
      </c>
      <c r="D297" s="7" t="s">
        <v>72</v>
      </c>
      <c r="E297" s="5"/>
      <c r="F297" s="71">
        <f>IF(C297=hops!$B$2,0,find_c(C297,"hops","B2:B1000",2)/100)</f>
        <v>0</v>
      </c>
      <c r="G297" s="56"/>
      <c r="H297" s="79" t="s">
        <v>10</v>
      </c>
      <c r="I297" s="73" t="str">
        <f t="shared" si="9"/>
        <v>-</v>
      </c>
      <c r="O297" s="84">
        <f t="shared" si="8"/>
        <v>16.25</v>
      </c>
      <c r="P297" s="46">
        <v>73.75</v>
      </c>
      <c r="Q297" s="49">
        <v>76.600983949973056</v>
      </c>
      <c r="R297" s="18">
        <v>70.301743198239052</v>
      </c>
      <c r="S297" s="47">
        <v>20.097272851787896</v>
      </c>
      <c r="T297" s="18">
        <v>100</v>
      </c>
      <c r="U297" s="51">
        <v>32.912464095687596</v>
      </c>
    </row>
    <row r="298" spans="2:21" x14ac:dyDescent="0.25">
      <c r="B298" s="67"/>
      <c r="C298" s="6" t="s">
        <v>11</v>
      </c>
      <c r="D298" s="7" t="s">
        <v>72</v>
      </c>
      <c r="E298" s="5"/>
      <c r="F298" s="71">
        <f>IF(C298=hops!$B$2,0,find_c(C298,"hops","B2:B1000",2)/100)</f>
        <v>0</v>
      </c>
      <c r="G298" s="56"/>
      <c r="H298" s="79" t="s">
        <v>10</v>
      </c>
      <c r="I298" s="73" t="str">
        <f t="shared" si="9"/>
        <v>-</v>
      </c>
      <c r="O298" s="84">
        <f t="shared" si="8"/>
        <v>16</v>
      </c>
      <c r="P298" s="46">
        <v>74</v>
      </c>
      <c r="Q298" s="49">
        <v>76.201701321133825</v>
      </c>
      <c r="R298" s="18">
        <v>70.533707678266467</v>
      </c>
      <c r="S298" s="47">
        <v>20.264591000599705</v>
      </c>
      <c r="T298" s="18">
        <v>100</v>
      </c>
      <c r="U298" s="51">
        <v>33.021060586657228</v>
      </c>
    </row>
    <row r="299" spans="2:21" x14ac:dyDescent="0.25">
      <c r="B299" s="67"/>
      <c r="C299" s="6" t="s">
        <v>11</v>
      </c>
      <c r="D299" s="7" t="s">
        <v>72</v>
      </c>
      <c r="E299" s="5"/>
      <c r="F299" s="71">
        <f>IF(C299=hops!$B$2,0,find_c(C299,"hops","B2:B1000",2)/100)</f>
        <v>0</v>
      </c>
      <c r="G299" s="56"/>
      <c r="H299" s="79" t="s">
        <v>10</v>
      </c>
      <c r="I299" s="73" t="str">
        <f t="shared" si="9"/>
        <v>-</v>
      </c>
      <c r="O299" s="84">
        <f t="shared" si="8"/>
        <v>15.75</v>
      </c>
      <c r="P299" s="46">
        <v>74.25</v>
      </c>
      <c r="Q299" s="49">
        <v>75.804499952997418</v>
      </c>
      <c r="R299" s="18">
        <v>70.763038822128607</v>
      </c>
      <c r="S299" s="47">
        <v>20.432461224873979</v>
      </c>
      <c r="T299" s="18">
        <v>100</v>
      </c>
      <c r="U299" s="51">
        <v>33.128424254967726</v>
      </c>
    </row>
    <row r="300" spans="2:21" x14ac:dyDescent="0.25">
      <c r="B300" s="67"/>
      <c r="C300" s="6" t="s">
        <v>11</v>
      </c>
      <c r="D300" s="7" t="s">
        <v>72</v>
      </c>
      <c r="E300" s="5"/>
      <c r="F300" s="71">
        <f>IF(C300=hops!$B$2,0,find_c(C300,"hops","B2:B1000",2)/100)</f>
        <v>0</v>
      </c>
      <c r="G300" s="56"/>
      <c r="H300" s="79" t="s">
        <v>10</v>
      </c>
      <c r="I300" s="73" t="str">
        <f t="shared" si="9"/>
        <v>-</v>
      </c>
      <c r="O300" s="84">
        <f t="shared" si="8"/>
        <v>15.5</v>
      </c>
      <c r="P300" s="46">
        <v>74.5</v>
      </c>
      <c r="Q300" s="49">
        <v>75.409368996992413</v>
      </c>
      <c r="R300" s="18">
        <v>70.989753745736948</v>
      </c>
      <c r="S300" s="47">
        <v>20.600877257270646</v>
      </c>
      <c r="T300" s="18">
        <v>100</v>
      </c>
      <c r="U300" s="51">
        <v>33.23456311360421</v>
      </c>
    </row>
    <row r="301" spans="2:21" x14ac:dyDescent="0.25">
      <c r="B301" s="67"/>
      <c r="C301" s="6" t="s">
        <v>11</v>
      </c>
      <c r="D301" s="7" t="s">
        <v>72</v>
      </c>
      <c r="E301" s="5"/>
      <c r="F301" s="71">
        <f>IF(C301=hops!$B$2,0,find_c(C301,"hops","B2:B1000",2)/100)</f>
        <v>0</v>
      </c>
      <c r="G301" s="56"/>
      <c r="H301" s="79" t="s">
        <v>10</v>
      </c>
      <c r="I301" s="73" t="str">
        <f t="shared" si="9"/>
        <v>-</v>
      </c>
      <c r="O301" s="84">
        <f t="shared" si="8"/>
        <v>15.25</v>
      </c>
      <c r="P301" s="46">
        <v>74.75</v>
      </c>
      <c r="Q301" s="49">
        <v>75.016297661095592</v>
      </c>
      <c r="R301" s="18">
        <v>71.213869467718908</v>
      </c>
      <c r="S301" s="47">
        <v>20.7698328711855</v>
      </c>
      <c r="T301" s="18">
        <v>100</v>
      </c>
      <c r="U301" s="51">
        <v>33.339485130007283</v>
      </c>
    </row>
    <row r="302" spans="2:21" x14ac:dyDescent="0.25">
      <c r="B302" s="67"/>
      <c r="C302" s="6" t="s">
        <v>11</v>
      </c>
      <c r="D302" s="7" t="s">
        <v>72</v>
      </c>
      <c r="E302" s="5"/>
      <c r="F302" s="71">
        <f>IF(C302=hops!$B$2,0,find_c(C302,"hops","B2:B1000",2)/100)</f>
        <v>0</v>
      </c>
      <c r="G302" s="56"/>
      <c r="H302" s="79" t="s">
        <v>10</v>
      </c>
      <c r="I302" s="73" t="str">
        <f t="shared" si="9"/>
        <v>-</v>
      </c>
      <c r="O302" s="84">
        <f t="shared" si="8"/>
        <v>15</v>
      </c>
      <c r="P302" s="46">
        <v>75</v>
      </c>
      <c r="Q302" s="49">
        <v>74.625275209537136</v>
      </c>
      <c r="R302" s="18">
        <v>71.435402909944187</v>
      </c>
      <c r="S302" s="47">
        <v>20.939321880518669</v>
      </c>
      <c r="T302" s="18">
        <v>100</v>
      </c>
      <c r="U302" s="51">
        <v>33.443198226319467</v>
      </c>
    </row>
    <row r="303" spans="2:21" x14ac:dyDescent="0.25">
      <c r="B303" s="67"/>
      <c r="C303" s="6" t="s">
        <v>11</v>
      </c>
      <c r="D303" s="7" t="s">
        <v>72</v>
      </c>
      <c r="E303" s="5"/>
      <c r="F303" s="71">
        <f>IF(C303=hops!$B$2,0,find_c(C303,"hops","B2:B1000",2)/100)</f>
        <v>0</v>
      </c>
      <c r="G303" s="56"/>
      <c r="H303" s="79" t="s">
        <v>10</v>
      </c>
      <c r="I303" s="73" t="str">
        <f t="shared" si="9"/>
        <v>-</v>
      </c>
      <c r="O303" s="84">
        <f t="shared" si="8"/>
        <v>14.75</v>
      </c>
      <c r="P303" s="46">
        <v>75.25</v>
      </c>
      <c r="Q303" s="49">
        <v>74.236290962507425</v>
      </c>
      <c r="R303" s="18">
        <v>71.654370898048228</v>
      </c>
      <c r="S303" s="47">
        <v>21.109338139444336</v>
      </c>
      <c r="T303" s="18">
        <v>100</v>
      </c>
      <c r="U303" s="51">
        <v>33.545710279630256</v>
      </c>
    </row>
    <row r="304" spans="2:21" x14ac:dyDescent="0.25">
      <c r="B304" s="67"/>
      <c r="C304" s="6" t="s">
        <v>11</v>
      </c>
      <c r="D304" s="7" t="s">
        <v>72</v>
      </c>
      <c r="E304" s="5"/>
      <c r="F304" s="71">
        <f>IF(C304=hops!$B$2,0,find_c(C304,"hops","B2:B1000",2)/100)</f>
        <v>0</v>
      </c>
      <c r="G304" s="56"/>
      <c r="H304" s="79" t="s">
        <v>10</v>
      </c>
      <c r="I304" s="73" t="str">
        <f t="shared" si="9"/>
        <v>-</v>
      </c>
      <c r="O304" s="84">
        <f t="shared" si="8"/>
        <v>14.5</v>
      </c>
      <c r="P304" s="46">
        <v>75.5</v>
      </c>
      <c r="Q304" s="49">
        <v>73.849334295865361</v>
      </c>
      <c r="R304" s="18">
        <v>71.870790161952939</v>
      </c>
      <c r="S304" s="47">
        <v>21.279875542181692</v>
      </c>
      <c r="T304" s="18">
        <v>100</v>
      </c>
      <c r="U304" s="51">
        <v>33.647029122219884</v>
      </c>
    </row>
    <row r="305" spans="2:21" x14ac:dyDescent="0.25">
      <c r="B305" s="67"/>
      <c r="C305" s="6" t="s">
        <v>11</v>
      </c>
      <c r="D305" s="7" t="s">
        <v>72</v>
      </c>
      <c r="E305" s="5"/>
      <c r="F305" s="71">
        <f>IF(C305=hops!$B$2,0,find_c(C305,"hops","B2:B1000",2)/100)</f>
        <v>0</v>
      </c>
      <c r="G305" s="56"/>
      <c r="H305" s="79" t="s">
        <v>10</v>
      </c>
      <c r="I305" s="73" t="str">
        <f t="shared" si="9"/>
        <v>-</v>
      </c>
      <c r="O305" s="84">
        <f t="shared" si="8"/>
        <v>14.25</v>
      </c>
      <c r="P305" s="46">
        <v>75.75</v>
      </c>
      <c r="Q305" s="49">
        <v>73.46439464084817</v>
      </c>
      <c r="R305" s="18">
        <v>72.084677336384686</v>
      </c>
      <c r="S305" s="47">
        <v>21.45092802276714</v>
      </c>
      <c r="T305" s="18">
        <v>100</v>
      </c>
      <c r="U305" s="51">
        <v>33.747162541801849</v>
      </c>
    </row>
    <row r="306" spans="2:21" x14ac:dyDescent="0.25">
      <c r="B306" s="67"/>
      <c r="C306" s="6" t="s">
        <v>11</v>
      </c>
      <c r="D306" s="7" t="s">
        <v>72</v>
      </c>
      <c r="E306" s="5"/>
      <c r="F306" s="71">
        <f>IF(C306=hops!$B$2,0,find_c(C306,"hops","B2:B1000",2)/100)</f>
        <v>0</v>
      </c>
      <c r="G306" s="56"/>
      <c r="H306" s="79" t="s">
        <v>10</v>
      </c>
      <c r="I306" s="73" t="str">
        <f t="shared" si="9"/>
        <v>-</v>
      </c>
      <c r="O306" s="84">
        <f t="shared" si="8"/>
        <v>14</v>
      </c>
      <c r="P306" s="46">
        <v>76</v>
      </c>
      <c r="Q306" s="49">
        <v>73.081461483782746</v>
      </c>
      <c r="R306" s="18">
        <v>72.296048961389516</v>
      </c>
      <c r="S306" s="47">
        <v>21.622489554827737</v>
      </c>
      <c r="T306" s="18">
        <v>100</v>
      </c>
      <c r="U306" s="51">
        <v>33.84611828176412</v>
      </c>
    </row>
    <row r="307" spans="2:21" x14ac:dyDescent="0.25">
      <c r="B307" s="67"/>
      <c r="C307" s="6" t="s">
        <v>11</v>
      </c>
      <c r="D307" s="7" t="s">
        <v>72</v>
      </c>
      <c r="E307" s="5"/>
      <c r="F307" s="71">
        <f>IF(C307=hops!$B$2,0,find_c(C307,"hops","B2:B1000",2)/100)</f>
        <v>0</v>
      </c>
      <c r="G307" s="56"/>
      <c r="H307" s="79" t="s">
        <v>10</v>
      </c>
      <c r="I307" s="73" t="str">
        <f t="shared" si="9"/>
        <v>-</v>
      </c>
      <c r="O307" s="84">
        <f t="shared" si="8"/>
        <v>13.75</v>
      </c>
      <c r="P307" s="46">
        <v>76.25</v>
      </c>
      <c r="Q307" s="49">
        <v>72.700524365798529</v>
      </c>
      <c r="R307" s="18">
        <v>72.504921482845631</v>
      </c>
      <c r="S307" s="47">
        <v>21.794554151355843</v>
      </c>
      <c r="T307" s="18">
        <v>100</v>
      </c>
      <c r="U307" s="51">
        <v>33.943904041409013</v>
      </c>
    </row>
    <row r="308" spans="2:21" x14ac:dyDescent="0.25">
      <c r="B308" s="67"/>
      <c r="C308" s="6" t="s">
        <v>11</v>
      </c>
      <c r="D308" s="7" t="s">
        <v>72</v>
      </c>
      <c r="E308" s="5"/>
      <c r="F308" s="71">
        <f>IF(C308=hops!$B$2,0,find_c(C308,"hops","B2:B1000",2)/100)</f>
        <v>0</v>
      </c>
      <c r="G308" s="56"/>
      <c r="H308" s="79" t="s">
        <v>10</v>
      </c>
      <c r="I308" s="73" t="str">
        <f t="shared" si="9"/>
        <v>-</v>
      </c>
      <c r="O308" s="84">
        <f t="shared" si="8"/>
        <v>13.5</v>
      </c>
      <c r="P308" s="46">
        <v>76.5</v>
      </c>
      <c r="Q308" s="49">
        <v>72.321572882541801</v>
      </c>
      <c r="R308" s="18">
        <v>72.711311252973189</v>
      </c>
      <c r="S308" s="47">
        <v>21.967115864485017</v>
      </c>
      <c r="T308" s="18">
        <v>100</v>
      </c>
      <c r="U308" s="51">
        <v>34.040527476191926</v>
      </c>
    </row>
    <row r="309" spans="2:21" x14ac:dyDescent="0.25">
      <c r="B309" s="67"/>
      <c r="C309" s="6" t="s">
        <v>11</v>
      </c>
      <c r="D309" s="7" t="s">
        <v>72</v>
      </c>
      <c r="E309" s="5"/>
      <c r="F309" s="71">
        <f>IF(C309=hops!$B$2,0,find_c(C309,"hops","B2:B1000",2)/100)</f>
        <v>0</v>
      </c>
      <c r="G309" s="56"/>
      <c r="H309" s="79" t="s">
        <v>10</v>
      </c>
      <c r="I309" s="73" t="str">
        <f t="shared" si="9"/>
        <v>-</v>
      </c>
      <c r="O309" s="84">
        <f t="shared" si="8"/>
        <v>13.25</v>
      </c>
      <c r="P309" s="46">
        <v>76.75</v>
      </c>
      <c r="Q309" s="49">
        <v>71.944596683891547</v>
      </c>
      <c r="R309" s="18">
        <v>72.915234530841374</v>
      </c>
      <c r="S309" s="47">
        <v>22.140168785267093</v>
      </c>
      <c r="T309" s="18">
        <v>100</v>
      </c>
      <c r="U309" s="51">
        <v>34.135996197958697</v>
      </c>
    </row>
    <row r="310" spans="2:21" x14ac:dyDescent="0.25">
      <c r="B310" s="67"/>
      <c r="C310" s="6" t="s">
        <v>11</v>
      </c>
      <c r="D310" s="7" t="s">
        <v>72</v>
      </c>
      <c r="E310" s="5"/>
      <c r="F310" s="71">
        <f>IF(C310=hops!$B$2,0,find_c(C310,"hops","B2:B1000",2)/100)</f>
        <v>0</v>
      </c>
      <c r="G310" s="56"/>
      <c r="H310" s="79" t="s">
        <v>10</v>
      </c>
      <c r="I310" s="73" t="str">
        <f t="shared" si="9"/>
        <v>-</v>
      </c>
      <c r="O310" s="84">
        <f t="shared" si="8"/>
        <v>13</v>
      </c>
      <c r="P310" s="46">
        <v>77</v>
      </c>
      <c r="Q310" s="49">
        <v>71.569585473676767</v>
      </c>
      <c r="R310" s="18">
        <v>73.116707482872755</v>
      </c>
      <c r="S310" s="47">
        <v>22.313707043450496</v>
      </c>
      <c r="T310" s="18">
        <v>100</v>
      </c>
      <c r="U310" s="51">
        <v>34.23031777518171</v>
      </c>
    </row>
    <row r="311" spans="2:21" x14ac:dyDescent="0.25">
      <c r="B311" s="67"/>
      <c r="C311" s="6" t="s">
        <v>11</v>
      </c>
      <c r="D311" s="7" t="s">
        <v>72</v>
      </c>
      <c r="E311" s="5"/>
      <c r="F311" s="71">
        <f>IF(C311=hops!$B$2,0,find_c(C311,"hops","B2:B1000",2)/100)</f>
        <v>0</v>
      </c>
      <c r="G311" s="56"/>
      <c r="H311" s="79" t="s">
        <v>10</v>
      </c>
      <c r="I311" s="73" t="str">
        <f t="shared" si="9"/>
        <v>-</v>
      </c>
      <c r="O311" s="84">
        <f t="shared" si="8"/>
        <v>12.75</v>
      </c>
      <c r="P311" s="46">
        <v>77.25</v>
      </c>
      <c r="Q311" s="49">
        <v>71.196529009395221</v>
      </c>
      <c r="R311" s="18">
        <v>73.31574618334507</v>
      </c>
      <c r="S311" s="47">
        <v>22.487724807259731</v>
      </c>
      <c r="T311" s="18">
        <v>100</v>
      </c>
      <c r="U311" s="51">
        <v>34.323499733194829</v>
      </c>
    </row>
    <row r="312" spans="2:21" x14ac:dyDescent="0.25">
      <c r="B312" s="67"/>
      <c r="C312" s="6" t="s">
        <v>11</v>
      </c>
      <c r="D312" s="7" t="s">
        <v>72</v>
      </c>
      <c r="E312" s="5"/>
      <c r="F312" s="71">
        <f>IF(C312=hops!$B$2,0,find_c(C312,"hops","B2:B1000",2)/100)</f>
        <v>0</v>
      </c>
      <c r="G312" s="56"/>
      <c r="H312" s="79" t="s">
        <v>10</v>
      </c>
      <c r="I312" s="73" t="str">
        <f t="shared" si="9"/>
        <v>-</v>
      </c>
      <c r="O312" s="84">
        <f t="shared" si="8"/>
        <v>12.5</v>
      </c>
      <c r="P312" s="46">
        <v>77.5</v>
      </c>
      <c r="Q312" s="49">
        <v>70.825417101933752</v>
      </c>
      <c r="R312" s="18">
        <v>73.512366614890183</v>
      </c>
      <c r="S312" s="47">
        <v>22.662216283176093</v>
      </c>
      <c r="T312" s="18">
        <v>100</v>
      </c>
      <c r="U312" s="51">
        <v>34.415549554426988</v>
      </c>
    </row>
    <row r="313" spans="2:21" x14ac:dyDescent="0.25">
      <c r="B313" s="67"/>
      <c r="C313" s="6" t="s">
        <v>11</v>
      </c>
      <c r="D313" s="7" t="s">
        <v>72</v>
      </c>
      <c r="E313" s="5"/>
      <c r="F313" s="71">
        <f>IF(C313=hops!$B$2,0,find_c(C313,"hops","B2:B1000",2)/100)</f>
        <v>0</v>
      </c>
      <c r="G313" s="56"/>
      <c r="H313" s="79" t="s">
        <v>10</v>
      </c>
      <c r="I313" s="73" t="str">
        <f t="shared" si="9"/>
        <v>-</v>
      </c>
      <c r="O313" s="84">
        <f t="shared" si="8"/>
        <v>12.25</v>
      </c>
      <c r="P313" s="46">
        <v>77.75</v>
      </c>
      <c r="Q313" s="49">
        <v>70.456239615289917</v>
      </c>
      <c r="R313" s="18">
        <v>73.706584668990587</v>
      </c>
      <c r="S313" s="47">
        <v>22.837175715719532</v>
      </c>
      <c r="T313" s="18">
        <v>100</v>
      </c>
      <c r="U313" s="51">
        <v>34.506474678634632</v>
      </c>
    </row>
    <row r="314" spans="2:21" x14ac:dyDescent="0.25">
      <c r="B314" s="67"/>
      <c r="C314" s="6" t="s">
        <v>11</v>
      </c>
      <c r="D314" s="7" t="s">
        <v>72</v>
      </c>
      <c r="E314" s="5"/>
      <c r="F314" s="71">
        <f>IF(C314=hops!$B$2,0,find_c(C314,"hops","B2:B1000",2)/100)</f>
        <v>0</v>
      </c>
      <c r="G314" s="56"/>
      <c r="H314" s="79" t="s">
        <v>10</v>
      </c>
      <c r="I314" s="73" t="str">
        <f t="shared" si="9"/>
        <v>-</v>
      </c>
      <c r="O314" s="84">
        <f t="shared" si="8"/>
        <v>12</v>
      </c>
      <c r="P314" s="46">
        <v>78</v>
      </c>
      <c r="Q314" s="49">
        <v>70.088986466295225</v>
      </c>
      <c r="R314" s="18">
        <v>73.898416146473082</v>
      </c>
      <c r="S314" s="47">
        <v>23.012597387231729</v>
      </c>
      <c r="T314" s="18">
        <v>100</v>
      </c>
      <c r="U314" s="51">
        <v>34.596282503132834</v>
      </c>
    </row>
    <row r="315" spans="2:21" x14ac:dyDescent="0.25">
      <c r="B315" s="67"/>
      <c r="C315" s="6" t="s">
        <v>11</v>
      </c>
      <c r="D315" s="7" t="s">
        <v>72</v>
      </c>
      <c r="E315" s="5"/>
      <c r="F315" s="71">
        <f>IF(C315=hops!$B$2,0,find_c(C315,"hops","B2:B1000",2)/100)</f>
        <v>0</v>
      </c>
      <c r="G315" s="56"/>
      <c r="H315" s="79" t="s">
        <v>10</v>
      </c>
      <c r="I315" s="73" t="str">
        <f t="shared" si="9"/>
        <v>-</v>
      </c>
      <c r="O315" s="84">
        <f t="shared" si="8"/>
        <v>11.75</v>
      </c>
      <c r="P315" s="46">
        <v>78.25</v>
      </c>
      <c r="Q315" s="49">
        <v>69.723647624339662</v>
      </c>
      <c r="R315" s="18">
        <v>74.087876758000036</v>
      </c>
      <c r="S315" s="47">
        <v>23.188475617660334</v>
      </c>
      <c r="T315" s="18">
        <v>100</v>
      </c>
      <c r="U315" s="51">
        <v>34.684980383025298</v>
      </c>
    </row>
    <row r="316" spans="2:21" x14ac:dyDescent="0.25">
      <c r="B316" s="67"/>
      <c r="C316" s="6" t="s">
        <v>11</v>
      </c>
      <c r="D316" s="7" t="s">
        <v>72</v>
      </c>
      <c r="E316" s="5"/>
      <c r="F316" s="71">
        <f>IF(C316=hops!$B$2,0,find_c(C316,"hops","B2:B1000",2)/100)</f>
        <v>0</v>
      </c>
      <c r="G316" s="56"/>
      <c r="H316" s="79" t="s">
        <v>10</v>
      </c>
      <c r="I316" s="73" t="str">
        <f t="shared" si="9"/>
        <v>-</v>
      </c>
      <c r="O316" s="84">
        <f t="shared" si="8"/>
        <v>11.5</v>
      </c>
      <c r="P316" s="46">
        <v>78.5</v>
      </c>
      <c r="Q316" s="49">
        <v>69.360213111097792</v>
      </c>
      <c r="R316" s="18">
        <v>74.274982124557866</v>
      </c>
      <c r="S316" s="47">
        <v>23.364804764344374</v>
      </c>
      <c r="T316" s="18">
        <v>100</v>
      </c>
      <c r="U316" s="51">
        <v>34.772575631433014</v>
      </c>
    </row>
    <row r="317" spans="2:21" x14ac:dyDescent="0.25">
      <c r="B317" s="67"/>
      <c r="C317" s="6" t="s">
        <v>11</v>
      </c>
      <c r="D317" s="7" t="s">
        <v>72</v>
      </c>
      <c r="E317" s="5"/>
      <c r="F317" s="71">
        <f>IF(C317=hops!$B$2,0,find_c(C317,"hops","B2:B1000",2)/100)</f>
        <v>0</v>
      </c>
      <c r="G317" s="56"/>
      <c r="H317" s="79" t="s">
        <v>10</v>
      </c>
      <c r="I317" s="73" t="str">
        <f t="shared" si="9"/>
        <v>-</v>
      </c>
      <c r="O317" s="84">
        <f t="shared" si="8"/>
        <v>11.25</v>
      </c>
      <c r="P317" s="46">
        <v>78.75</v>
      </c>
      <c r="Q317" s="49">
        <v>68.99867300025619</v>
      </c>
      <c r="R317" s="18">
        <v>74.459747777943022</v>
      </c>
      <c r="S317" s="47">
        <v>23.54157922180082</v>
      </c>
      <c r="T317" s="18">
        <v>100</v>
      </c>
      <c r="U317" s="51">
        <v>34.859075519721806</v>
      </c>
    </row>
    <row r="318" spans="2:21" x14ac:dyDescent="0.25">
      <c r="B318" s="67"/>
      <c r="C318" s="6" t="s">
        <v>11</v>
      </c>
      <c r="D318" s="7" t="s">
        <v>72</v>
      </c>
      <c r="E318" s="5"/>
      <c r="F318" s="71">
        <f>IF(C318=hops!$B$2,0,find_c(C318,"hops","B2:B1000",2)/100)</f>
        <v>0</v>
      </c>
      <c r="G318" s="56"/>
      <c r="H318" s="79" t="s">
        <v>10</v>
      </c>
      <c r="I318" s="73" t="str">
        <f t="shared" si="9"/>
        <v>-</v>
      </c>
      <c r="O318" s="84">
        <f t="shared" si="8"/>
        <v>11</v>
      </c>
      <c r="P318" s="46">
        <v>79</v>
      </c>
      <c r="Q318" s="49">
        <v>68.639017417242357</v>
      </c>
      <c r="R318" s="18">
        <v>74.642189161245355</v>
      </c>
      <c r="S318" s="47">
        <v>23.718793421512324</v>
      </c>
      <c r="T318" s="18">
        <v>100</v>
      </c>
      <c r="U318" s="51">
        <v>34.944487277728626</v>
      </c>
    </row>
    <row r="319" spans="2:21" x14ac:dyDescent="0.25">
      <c r="B319" s="67"/>
      <c r="C319" s="6" t="s">
        <v>11</v>
      </c>
      <c r="D319" s="7" t="s">
        <v>72</v>
      </c>
      <c r="E319" s="5"/>
      <c r="F319" s="71">
        <f>IF(C319=hops!$B$2,0,find_c(C319,"hops","B2:B1000",2)/100)</f>
        <v>0</v>
      </c>
      <c r="G319" s="56"/>
      <c r="H319" s="79" t="s">
        <v>10</v>
      </c>
      <c r="I319" s="73" t="str">
        <f t="shared" si="9"/>
        <v>-</v>
      </c>
      <c r="O319" s="84">
        <f t="shared" si="8"/>
        <v>10.75</v>
      </c>
      <c r="P319" s="46">
        <v>79.25</v>
      </c>
      <c r="Q319" s="49">
        <v>68.281236538954985</v>
      </c>
      <c r="R319" s="18">
        <v>74.822321629328968</v>
      </c>
      <c r="S319" s="47">
        <v>23.896441831716089</v>
      </c>
      <c r="T319" s="18">
        <v>100</v>
      </c>
      <c r="U319" s="51">
        <v>35.028818093986651</v>
      </c>
    </row>
    <row r="320" spans="2:21" x14ac:dyDescent="0.25">
      <c r="B320" s="67"/>
      <c r="C320" s="6" t="s">
        <v>11</v>
      </c>
      <c r="D320" s="7" t="s">
        <v>72</v>
      </c>
      <c r="E320" s="5"/>
      <c r="F320" s="71">
        <f>IF(C320=hops!$B$2,0,find_c(C320,"hops","B2:B1000",2)/100)</f>
        <v>0</v>
      </c>
      <c r="G320" s="56"/>
      <c r="H320" s="79" t="s">
        <v>10</v>
      </c>
      <c r="I320" s="73" t="str">
        <f t="shared" si="9"/>
        <v>-</v>
      </c>
      <c r="O320" s="84">
        <f t="shared" si="8"/>
        <v>10.5</v>
      </c>
      <c r="P320" s="46">
        <v>79.5</v>
      </c>
      <c r="Q320" s="49">
        <v>67.925320593495684</v>
      </c>
      <c r="R320" s="18">
        <v>75.000160449310471</v>
      </c>
      <c r="S320" s="47">
        <v>24.074518957193892</v>
      </c>
      <c r="T320" s="18">
        <v>100</v>
      </c>
      <c r="U320" s="51">
        <v>35.112075115949189</v>
      </c>
    </row>
    <row r="321" spans="2:21" x14ac:dyDescent="0.25">
      <c r="B321" s="67"/>
      <c r="C321" s="6" t="s">
        <v>11</v>
      </c>
      <c r="D321" s="7" t="s">
        <v>72</v>
      </c>
      <c r="E321" s="5"/>
      <c r="F321" s="71">
        <f>IF(C321=hops!$B$2,0,find_c(C321,"hops","B2:B1000",2)/100)</f>
        <v>0</v>
      </c>
      <c r="G321" s="56"/>
      <c r="H321" s="79" t="s">
        <v>10</v>
      </c>
      <c r="I321" s="73" t="str">
        <f t="shared" si="9"/>
        <v>-</v>
      </c>
      <c r="O321" s="84">
        <f t="shared" si="8"/>
        <v>10.25</v>
      </c>
      <c r="P321" s="46">
        <v>79.75</v>
      </c>
      <c r="Q321" s="49">
        <v>67.571259859902085</v>
      </c>
      <c r="R321" s="18">
        <v>75.175720801034714</v>
      </c>
      <c r="S321" s="47">
        <v>24.25301933906325</v>
      </c>
      <c r="T321" s="18">
        <v>100</v>
      </c>
      <c r="U321" s="51">
        <v>35.194265450212413</v>
      </c>
    </row>
    <row r="322" spans="2:21" x14ac:dyDescent="0.25">
      <c r="B322" s="67"/>
      <c r="C322" s="6" t="s">
        <v>11</v>
      </c>
      <c r="D322" s="7" t="s">
        <v>72</v>
      </c>
      <c r="E322" s="5"/>
      <c r="F322" s="71">
        <f>IF(C322=hops!$B$2,0,find_c(C322,"hops","B2:B1000",2)/100)</f>
        <v>0</v>
      </c>
      <c r="G322" s="56"/>
      <c r="H322" s="79" t="s">
        <v>10</v>
      </c>
      <c r="I322" s="73" t="str">
        <f t="shared" si="9"/>
        <v>-</v>
      </c>
      <c r="O322" s="84">
        <f t="shared" si="8"/>
        <v>10</v>
      </c>
      <c r="P322" s="46">
        <v>80</v>
      </c>
      <c r="Q322" s="49">
        <v>67.219044667882343</v>
      </c>
      <c r="R322" s="18">
        <v>75.349017777547999</v>
      </c>
      <c r="S322" s="47">
        <v>24.431937554569714</v>
      </c>
      <c r="T322" s="18">
        <v>100</v>
      </c>
      <c r="U322" s="51">
        <v>35.275396162736868</v>
      </c>
    </row>
    <row r="323" spans="2:21" x14ac:dyDescent="0.25">
      <c r="B323" s="67"/>
      <c r="C323" s="6" t="s">
        <v>11</v>
      </c>
      <c r="D323" s="7" t="s">
        <v>72</v>
      </c>
      <c r="E323" s="5"/>
      <c r="F323" s="71">
        <f>IF(C323=hops!$B$2,0,find_c(C323,"hops","B2:B1000",2)/100)</f>
        <v>0</v>
      </c>
      <c r="G323" s="56"/>
      <c r="H323" s="79" t="s">
        <v>10</v>
      </c>
      <c r="I323" s="73" t="str">
        <f t="shared" si="9"/>
        <v>-</v>
      </c>
      <c r="O323" s="84">
        <f t="shared" ref="O323:O386" si="10">90-P323</f>
        <v>9.75</v>
      </c>
      <c r="P323" s="46">
        <v>80.25</v>
      </c>
      <c r="Q323" s="49">
        <v>66.868665397551013</v>
      </c>
      <c r="R323" s="18">
        <v>75.520066385568768</v>
      </c>
      <c r="S323" s="47">
        <v>24.61126821688028</v>
      </c>
      <c r="T323" s="18">
        <v>100</v>
      </c>
      <c r="U323" s="51">
        <v>35.35547427906787</v>
      </c>
    </row>
    <row r="324" spans="2:21" x14ac:dyDescent="0.25">
      <c r="B324" s="67"/>
      <c r="C324" s="6" t="s">
        <v>11</v>
      </c>
      <c r="D324" s="7" t="s">
        <v>72</v>
      </c>
      <c r="E324" s="5"/>
      <c r="F324" s="71">
        <f>IF(C324=hops!$B$2,0,find_c(C324,"hops","B2:B1000",2)/100)</f>
        <v>0</v>
      </c>
      <c r="G324" s="56"/>
      <c r="H324" s="79" t="s">
        <v>10</v>
      </c>
      <c r="I324" s="73" t="str">
        <f t="shared" si="9"/>
        <v>-</v>
      </c>
      <c r="O324" s="84">
        <f t="shared" si="10"/>
        <v>9.5</v>
      </c>
      <c r="P324" s="46">
        <v>80.5</v>
      </c>
      <c r="Q324" s="49">
        <v>66.520112479166272</v>
      </c>
      <c r="R324" s="18">
        <v>75.688881545955851</v>
      </c>
      <c r="S324" s="47">
        <v>24.791005974877933</v>
      </c>
      <c r="T324" s="18">
        <v>100</v>
      </c>
      <c r="U324" s="51">
        <v>35.434506784554692</v>
      </c>
    </row>
    <row r="325" spans="2:21" x14ac:dyDescent="0.25">
      <c r="B325" s="67"/>
      <c r="C325" s="6" t="s">
        <v>11</v>
      </c>
      <c r="D325" s="7" t="s">
        <v>72</v>
      </c>
      <c r="E325" s="5"/>
      <c r="F325" s="71">
        <f>IF(C325=hops!$B$2,0,find_c(C325,"hops","B2:B1000",2)/100)</f>
        <v>0</v>
      </c>
      <c r="G325" s="56"/>
      <c r="H325" s="79" t="s">
        <v>10</v>
      </c>
      <c r="I325" s="74" t="str">
        <f t="shared" si="9"/>
        <v>-</v>
      </c>
      <c r="O325" s="84">
        <f t="shared" si="10"/>
        <v>9.25</v>
      </c>
      <c r="P325" s="46">
        <v>80.75</v>
      </c>
      <c r="Q325" s="49">
        <v>66.173376392868619</v>
      </c>
      <c r="R325" s="18">
        <v>75.855478094174131</v>
      </c>
      <c r="S325" s="47">
        <v>24.971145512957307</v>
      </c>
      <c r="T325" s="18">
        <v>100</v>
      </c>
      <c r="U325" s="51">
        <v>35.51250062456856</v>
      </c>
    </row>
    <row r="326" spans="2:21" x14ac:dyDescent="0.25">
      <c r="B326" s="67"/>
      <c r="C326" s="6" t="s">
        <v>11</v>
      </c>
      <c r="D326" s="7" t="s">
        <v>72</v>
      </c>
      <c r="E326" s="5"/>
      <c r="F326" s="71">
        <f>IF(C326=hops!$B$2,0,find_c(C326,"hops","B2:B1000",2)/100)</f>
        <v>0</v>
      </c>
      <c r="G326" s="56"/>
      <c r="H326" s="79" t="s">
        <v>10</v>
      </c>
      <c r="I326" s="74" t="str">
        <f t="shared" ref="I326:I331" si="11">IF((H326)="-","-",H326/$K$13)</f>
        <v>-</v>
      </c>
      <c r="O326" s="84">
        <f t="shared" si="10"/>
        <v>9</v>
      </c>
      <c r="P326" s="46">
        <v>81</v>
      </c>
      <c r="Q326" s="49">
        <v>65.828447668420793</v>
      </c>
      <c r="R326" s="18">
        <v>76.019870780757827</v>
      </c>
      <c r="S326" s="47">
        <v>25.15168155082144</v>
      </c>
      <c r="T326" s="18">
        <v>100</v>
      </c>
      <c r="U326" s="51">
        <v>35.589462704719587</v>
      </c>
    </row>
    <row r="327" spans="2:21" x14ac:dyDescent="0.25">
      <c r="B327" s="67"/>
      <c r="C327" s="6" t="s">
        <v>11</v>
      </c>
      <c r="D327" s="7" t="s">
        <v>72</v>
      </c>
      <c r="E327" s="5"/>
      <c r="F327" s="71">
        <f>IF(C327=hops!$B$2,0,find_c(C327,"hops","B2:B1000",2)/100)</f>
        <v>0</v>
      </c>
      <c r="G327" s="56"/>
      <c r="H327" s="79" t="s">
        <v>10</v>
      </c>
      <c r="I327" s="74" t="str">
        <f t="shared" si="11"/>
        <v>-</v>
      </c>
      <c r="O327" s="84">
        <f t="shared" si="10"/>
        <v>8.75</v>
      </c>
      <c r="P327" s="46">
        <v>81.25</v>
      </c>
      <c r="Q327" s="49">
        <v>65.485316884949157</v>
      </c>
      <c r="R327" s="18">
        <v>76.182074271771256</v>
      </c>
      <c r="S327" s="47">
        <v>25.332608843279644</v>
      </c>
      <c r="T327" s="18">
        <v>100</v>
      </c>
      <c r="U327" s="51">
        <v>35.665399891072433</v>
      </c>
    </row>
    <row r="328" spans="2:21" x14ac:dyDescent="0.25">
      <c r="B328" s="67"/>
      <c r="C328" s="6" t="s">
        <v>11</v>
      </c>
      <c r="D328" s="7" t="s">
        <v>72</v>
      </c>
      <c r="E328" s="5"/>
      <c r="F328" s="71">
        <f>IF(C328=hops!$B$2,0,find_c(C328,"hops","B2:B1000",2)/100)</f>
        <v>0</v>
      </c>
      <c r="G328" s="56"/>
      <c r="H328" s="79" t="s">
        <v>10</v>
      </c>
      <c r="I328" s="74" t="str">
        <f t="shared" si="11"/>
        <v>-</v>
      </c>
      <c r="O328" s="84">
        <f t="shared" si="10"/>
        <v>8.5</v>
      </c>
      <c r="P328" s="46">
        <v>81.5</v>
      </c>
      <c r="Q328" s="49">
        <v>65.143974670686362</v>
      </c>
      <c r="R328" s="18">
        <v>76.342103149267231</v>
      </c>
      <c r="S328" s="47">
        <v>25.51392218004646</v>
      </c>
      <c r="T328" s="18">
        <v>100</v>
      </c>
      <c r="U328" s="51">
        <v>35.740319010360949</v>
      </c>
    </row>
    <row r="329" spans="2:21" x14ac:dyDescent="0.25">
      <c r="B329" s="67"/>
      <c r="C329" s="6" t="s">
        <v>11</v>
      </c>
      <c r="D329" s="7" t="s">
        <v>72</v>
      </c>
      <c r="E329" s="5"/>
      <c r="F329" s="71">
        <f>IF(C329=hops!$B$2,0,find_c(C329,"hops","B2:B1000",2)/100)</f>
        <v>0</v>
      </c>
      <c r="G329" s="56"/>
      <c r="H329" s="79" t="s">
        <v>10</v>
      </c>
      <c r="I329" s="74" t="str">
        <f t="shared" si="11"/>
        <v>-</v>
      </c>
      <c r="O329" s="84">
        <f t="shared" si="10"/>
        <v>8.25</v>
      </c>
      <c r="P329" s="46">
        <v>81.75</v>
      </c>
      <c r="Q329" s="49">
        <v>64.804411702715413</v>
      </c>
      <c r="R329" s="18">
        <v>76.499971911742918</v>
      </c>
      <c r="S329" s="47">
        <v>25.695616385541715</v>
      </c>
      <c r="T329" s="18">
        <v>100</v>
      </c>
      <c r="U329" s="51">
        <v>35.814226850201564</v>
      </c>
    </row>
    <row r="330" spans="2:21" x14ac:dyDescent="0.25">
      <c r="B330" s="67"/>
      <c r="C330" s="6" t="s">
        <v>11</v>
      </c>
      <c r="D330" s="7" t="s">
        <v>72</v>
      </c>
      <c r="E330" s="5"/>
      <c r="F330" s="71">
        <f>IF(C330=hops!$B$2,0,find_c(C330,"hops","B2:B1000",2)/100)</f>
        <v>0</v>
      </c>
      <c r="G330" s="56"/>
      <c r="H330" s="79" t="s">
        <v>10</v>
      </c>
      <c r="I330" s="74" t="str">
        <f t="shared" si="11"/>
        <v>-</v>
      </c>
      <c r="O330" s="84">
        <f t="shared" si="10"/>
        <v>8</v>
      </c>
      <c r="P330" s="46">
        <v>82</v>
      </c>
      <c r="Q330" s="49">
        <v>64.46661870671501</v>
      </c>
      <c r="R330" s="18">
        <v>76.655694974593374</v>
      </c>
      <c r="S330" s="47">
        <v>25.877686318691662</v>
      </c>
      <c r="T330" s="18">
        <v>100</v>
      </c>
      <c r="U330" s="51">
        <v>35.887130159305634</v>
      </c>
    </row>
    <row r="331" spans="2:21" ht="15.75" thickBot="1" x14ac:dyDescent="0.3">
      <c r="B331" s="68"/>
      <c r="C331" s="10" t="s">
        <v>11</v>
      </c>
      <c r="D331" s="81" t="s">
        <v>72</v>
      </c>
      <c r="E331" s="17"/>
      <c r="F331" s="71">
        <f>IF(C331=hops!$B$2,0,find_c(C331,"hops","B2:B1000",2)/100)</f>
        <v>0</v>
      </c>
      <c r="G331" s="57"/>
      <c r="H331" s="80" t="s">
        <v>10</v>
      </c>
      <c r="I331" s="75" t="str">
        <f t="shared" si="11"/>
        <v>-</v>
      </c>
      <c r="O331" s="84">
        <f t="shared" si="10"/>
        <v>7.75</v>
      </c>
      <c r="P331" s="46">
        <v>82.25</v>
      </c>
      <c r="Q331" s="49">
        <v>64.130586456706254</v>
      </c>
      <c r="R331" s="18">
        <v>76.809286670562599</v>
      </c>
      <c r="S331" s="47">
        <v>26.060126872731196</v>
      </c>
      <c r="T331" s="18">
        <v>100</v>
      </c>
      <c r="U331" s="51">
        <v>35.959035647690584</v>
      </c>
    </row>
    <row r="332" spans="2:21" x14ac:dyDescent="0.25">
      <c r="C332" s="35"/>
      <c r="O332" s="84">
        <f t="shared" si="10"/>
        <v>7.5</v>
      </c>
      <c r="P332" s="46">
        <v>82.5</v>
      </c>
      <c r="Q332" s="49">
        <v>63.796305774800672</v>
      </c>
      <c r="R332" s="18">
        <v>76.960761250192249</v>
      </c>
      <c r="S332" s="47">
        <v>26.242932975007136</v>
      </c>
      <c r="T332" s="18">
        <v>100</v>
      </c>
      <c r="U332" s="51">
        <v>36.029949986890003</v>
      </c>
    </row>
    <row r="333" spans="2:21" x14ac:dyDescent="0.25">
      <c r="C333" s="35"/>
      <c r="O333" s="84">
        <f t="shared" si="10"/>
        <v>7.25</v>
      </c>
      <c r="P333" s="46">
        <v>82.75</v>
      </c>
      <c r="Q333" s="49">
        <v>63.463767530949525</v>
      </c>
      <c r="R333" s="18">
        <v>77.110132882267933</v>
      </c>
      <c r="S333" s="47">
        <v>26.426099586782595</v>
      </c>
      <c r="T333" s="18">
        <v>100</v>
      </c>
      <c r="U333" s="51">
        <v>36.099879810162555</v>
      </c>
    </row>
    <row r="334" spans="2:21" x14ac:dyDescent="0.25">
      <c r="C334" s="35"/>
      <c r="O334" s="84">
        <f t="shared" si="10"/>
        <v>7</v>
      </c>
      <c r="P334" s="46">
        <v>83</v>
      </c>
      <c r="Q334" s="49">
        <v>63.132962642694451</v>
      </c>
      <c r="R334" s="18">
        <v>77.257415654263212</v>
      </c>
      <c r="S334" s="47">
        <v>26.609621703042393</v>
      </c>
      <c r="T334" s="18">
        <v>100</v>
      </c>
      <c r="U334" s="51">
        <v>36.168831712699863</v>
      </c>
    </row>
    <row r="335" spans="2:21" x14ac:dyDescent="0.25">
      <c r="C335" s="35"/>
      <c r="O335" s="84">
        <f t="shared" si="10"/>
        <v>6.75</v>
      </c>
      <c r="P335" s="46">
        <v>83.25</v>
      </c>
      <c r="Q335" s="49">
        <v>62.803882074919407</v>
      </c>
      <c r="R335" s="18">
        <v>77.402623572781124</v>
      </c>
      <c r="S335" s="47">
        <v>26.79349435229954</v>
      </c>
      <c r="T335" s="18">
        <v>100</v>
      </c>
      <c r="U335" s="51">
        <v>36.236812251833214</v>
      </c>
    </row>
    <row r="336" spans="2:21" x14ac:dyDescent="0.25">
      <c r="O336" s="84">
        <f t="shared" si="10"/>
        <v>6.5</v>
      </c>
      <c r="P336" s="46">
        <v>83.5</v>
      </c>
      <c r="Q336" s="49">
        <v>62.476516839603889</v>
      </c>
      <c r="R336" s="18">
        <v>77.545770563993415</v>
      </c>
      <c r="S336" s="47">
        <v>26.97771259640276</v>
      </c>
      <c r="T336" s="18">
        <v>100</v>
      </c>
      <c r="U336" s="51">
        <v>36.303827947239157</v>
      </c>
    </row>
    <row r="337" spans="15:21" x14ac:dyDescent="0.25">
      <c r="O337" s="84">
        <f t="shared" si="10"/>
        <v>6.25</v>
      </c>
      <c r="P337" s="46">
        <v>83.75</v>
      </c>
      <c r="Q337" s="49">
        <v>62.150857995577454</v>
      </c>
      <c r="R337" s="18">
        <v>77.686870474077551</v>
      </c>
      <c r="S337" s="47">
        <v>27.162271530345066</v>
      </c>
      <c r="T337" s="18">
        <v>100</v>
      </c>
      <c r="U337" s="51">
        <v>36.369885281144143</v>
      </c>
    </row>
    <row r="338" spans="15:21" x14ac:dyDescent="0.25">
      <c r="O338" s="84">
        <f t="shared" si="10"/>
        <v>6</v>
      </c>
      <c r="P338" s="46">
        <v>84</v>
      </c>
      <c r="Q338" s="49">
        <v>61.826896648275508</v>
      </c>
      <c r="R338" s="18">
        <v>77.825937069651189</v>
      </c>
      <c r="S338" s="47">
        <v>27.347166282073371</v>
      </c>
      <c r="T338" s="18">
        <v>100</v>
      </c>
      <c r="U338" s="51">
        <v>36.434990698527905</v>
      </c>
    </row>
    <row r="339" spans="15:21" x14ac:dyDescent="0.25">
      <c r="O339" s="84">
        <f t="shared" si="10"/>
        <v>5.75</v>
      </c>
      <c r="P339" s="46">
        <v>84.25</v>
      </c>
      <c r="Q339" s="49">
        <v>61.50462394949637</v>
      </c>
      <c r="R339" s="18">
        <v>77.962984038204553</v>
      </c>
      <c r="S339" s="47">
        <v>27.532392012299141</v>
      </c>
      <c r="T339" s="18">
        <v>100</v>
      </c>
      <c r="U339" s="51">
        <v>36.499150607325845</v>
      </c>
    </row>
    <row r="340" spans="15:21" x14ac:dyDescent="0.25">
      <c r="O340" s="84">
        <f t="shared" si="10"/>
        <v>5.5</v>
      </c>
      <c r="P340" s="46">
        <v>84.5</v>
      </c>
      <c r="Q340" s="49">
        <v>61.184031097159618</v>
      </c>
      <c r="R340" s="18">
        <v>78.098024988530369</v>
      </c>
      <c r="S340" s="47">
        <v>27.717943914310069</v>
      </c>
      <c r="T340" s="18">
        <v>100</v>
      </c>
      <c r="U340" s="51">
        <v>36.562371378630374</v>
      </c>
    </row>
    <row r="341" spans="15:21" x14ac:dyDescent="0.25">
      <c r="O341" s="84">
        <f t="shared" si="10"/>
        <v>5.25</v>
      </c>
      <c r="P341" s="46">
        <v>84.75</v>
      </c>
      <c r="Q341" s="49">
        <v>60.865109335065675</v>
      </c>
      <c r="R341" s="18">
        <v>78.231073451151616</v>
      </c>
      <c r="S341" s="47">
        <v>27.903817213782773</v>
      </c>
      <c r="T341" s="18">
        <v>100</v>
      </c>
      <c r="U341" s="51">
        <v>36.624659346891136</v>
      </c>
    </row>
    <row r="342" spans="15:21" x14ac:dyDescent="0.25">
      <c r="O342" s="84">
        <f t="shared" si="10"/>
        <v>5</v>
      </c>
      <c r="P342" s="46">
        <v>85</v>
      </c>
      <c r="Q342" s="49">
        <v>108.54784995265665</v>
      </c>
      <c r="R342" s="18">
        <v>78.362142878746909</v>
      </c>
      <c r="S342" s="47">
        <v>28.090007168596514</v>
      </c>
      <c r="T342" s="18">
        <v>100</v>
      </c>
      <c r="U342" s="51">
        <v>36.686020810114151</v>
      </c>
    </row>
    <row r="343" spans="15:21" x14ac:dyDescent="0.25">
      <c r="O343" s="84">
        <f t="shared" si="10"/>
        <v>4.75</v>
      </c>
      <c r="P343" s="46">
        <v>85.25</v>
      </c>
      <c r="Q343" s="49">
        <v>107.98204428477842</v>
      </c>
      <c r="R343" s="18">
        <v>78.741446646573721</v>
      </c>
      <c r="S343" s="47">
        <v>28.276509068647933</v>
      </c>
      <c r="T343" s="18">
        <v>100</v>
      </c>
      <c r="U343" s="51">
        <v>36.863595662059957</v>
      </c>
    </row>
    <row r="344" spans="15:21" x14ac:dyDescent="0.25">
      <c r="O344" s="84">
        <f t="shared" si="10"/>
        <v>4.5</v>
      </c>
      <c r="P344" s="46">
        <v>85.5</v>
      </c>
      <c r="Q344" s="49">
        <v>107.41918787894402</v>
      </c>
      <c r="R344" s="18">
        <v>79.116898409389279</v>
      </c>
      <c r="S344" s="47">
        <v>28.463913711666777</v>
      </c>
      <c r="T344" s="18">
        <v>100</v>
      </c>
      <c r="U344" s="51">
        <v>37.039367159339683</v>
      </c>
    </row>
    <row r="345" spans="15:21" x14ac:dyDescent="0.25">
      <c r="O345" s="84">
        <f t="shared" si="10"/>
        <v>4.25</v>
      </c>
      <c r="P345" s="46">
        <v>85.75</v>
      </c>
      <c r="Q345" s="49">
        <v>106.85926536212502</v>
      </c>
      <c r="R345" s="18">
        <v>79.488522707993937</v>
      </c>
      <c r="S345" s="47">
        <v>28.652211929881123</v>
      </c>
      <c r="T345" s="18">
        <v>100</v>
      </c>
      <c r="U345" s="51">
        <v>37.213346790974441</v>
      </c>
    </row>
    <row r="346" spans="15:21" x14ac:dyDescent="0.25">
      <c r="O346" s="84">
        <f t="shared" si="10"/>
        <v>4</v>
      </c>
      <c r="P346" s="46">
        <v>86</v>
      </c>
      <c r="Q346" s="49">
        <v>106.30226144142493</v>
      </c>
      <c r="R346" s="18">
        <v>79.856343944648998</v>
      </c>
      <c r="S346" s="47">
        <v>28.841394613926148</v>
      </c>
      <c r="T346" s="18">
        <v>100</v>
      </c>
      <c r="U346" s="51">
        <v>37.385545981126874</v>
      </c>
    </row>
    <row r="347" spans="15:21" x14ac:dyDescent="0.25">
      <c r="O347" s="84">
        <f t="shared" si="10"/>
        <v>3.75</v>
      </c>
      <c r="P347" s="46">
        <v>86.25</v>
      </c>
      <c r="Q347" s="49">
        <v>105.7481609036615</v>
      </c>
      <c r="R347" s="18">
        <v>80.220386383824163</v>
      </c>
      <c r="S347" s="47">
        <v>29.031452712514412</v>
      </c>
      <c r="T347" s="18">
        <v>100</v>
      </c>
      <c r="U347" s="51">
        <v>37.555976089451121</v>
      </c>
    </row>
    <row r="348" spans="15:21" x14ac:dyDescent="0.25">
      <c r="O348" s="84">
        <f t="shared" si="10"/>
        <v>3.5</v>
      </c>
      <c r="P348" s="46">
        <v>86.5</v>
      </c>
      <c r="Q348" s="49">
        <v>105.19694861495117</v>
      </c>
      <c r="R348" s="18">
        <v>80.580674152940986</v>
      </c>
      <c r="S348" s="47">
        <v>29.222377232107913</v>
      </c>
      <c r="T348" s="18">
        <v>100</v>
      </c>
      <c r="U348" s="51">
        <v>37.724648411440853</v>
      </c>
    </row>
    <row r="349" spans="15:21" x14ac:dyDescent="0.25">
      <c r="O349" s="84">
        <f t="shared" si="10"/>
        <v>3.25</v>
      </c>
      <c r="P349" s="46">
        <v>86.75</v>
      </c>
      <c r="Q349" s="49">
        <v>104.64860952029574</v>
      </c>
      <c r="R349" s="18">
        <v>80.937231243112421</v>
      </c>
      <c r="S349" s="47">
        <v>29.414159236591914</v>
      </c>
      <c r="T349" s="18">
        <v>100</v>
      </c>
      <c r="U349" s="51">
        <v>37.891574178775514</v>
      </c>
    </row>
    <row r="350" spans="15:21" x14ac:dyDescent="0.25">
      <c r="O350" s="84">
        <f t="shared" si="10"/>
        <v>3</v>
      </c>
      <c r="P350" s="46">
        <v>87</v>
      </c>
      <c r="Q350" s="49">
        <v>104.10312864317119</v>
      </c>
      <c r="R350" s="18">
        <v>81.290081509878362</v>
      </c>
      <c r="S350" s="47">
        <v>29.606789846950523</v>
      </c>
      <c r="T350" s="18">
        <v>100</v>
      </c>
      <c r="U350" s="51">
        <v>38.056764559664657</v>
      </c>
    </row>
    <row r="351" spans="15:21" x14ac:dyDescent="0.25">
      <c r="O351" s="84">
        <f t="shared" si="10"/>
        <v>2.75</v>
      </c>
      <c r="P351" s="46">
        <v>87.25</v>
      </c>
      <c r="Q351" s="49">
        <v>103.56049108511866</v>
      </c>
      <c r="R351" s="18">
        <v>81.639248673937388</v>
      </c>
      <c r="S351" s="47">
        <v>29.800260240944034</v>
      </c>
      <c r="T351" s="18">
        <v>100</v>
      </c>
      <c r="U351" s="51">
        <v>38.220230659190527</v>
      </c>
    </row>
    <row r="352" spans="15:21" x14ac:dyDescent="0.25">
      <c r="O352" s="84">
        <f t="shared" si="10"/>
        <v>2.5</v>
      </c>
      <c r="P352" s="46">
        <v>87.5</v>
      </c>
      <c r="Q352" s="49">
        <v>103.02068202533748</v>
      </c>
      <c r="R352" s="18">
        <v>81.984756321874599</v>
      </c>
      <c r="S352" s="47">
        <v>29.994561652788004</v>
      </c>
      <c r="T352" s="18">
        <v>100</v>
      </c>
      <c r="U352" s="51">
        <v>38.381983519648813</v>
      </c>
    </row>
    <row r="353" spans="15:21" x14ac:dyDescent="0.25">
      <c r="O353" s="84">
        <f t="shared" si="10"/>
        <v>2.25</v>
      </c>
      <c r="P353" s="46">
        <v>87.75</v>
      </c>
      <c r="Q353" s="49">
        <v>102.4836867202804</v>
      </c>
      <c r="R353" s="18">
        <v>82.326627906885619</v>
      </c>
      <c r="S353" s="47">
        <v>30.189685372834067</v>
      </c>
      <c r="T353" s="18">
        <v>100</v>
      </c>
      <c r="U353" s="51">
        <v>38.542034120887571</v>
      </c>
    </row>
    <row r="354" spans="15:21" x14ac:dyDescent="0.25">
      <c r="O354" s="84">
        <f t="shared" si="10"/>
        <v>2</v>
      </c>
      <c r="P354" s="46">
        <v>88</v>
      </c>
      <c r="Q354" s="49">
        <v>101.94949050325094</v>
      </c>
      <c r="R354" s="18">
        <v>82.664886749496688</v>
      </c>
      <c r="S354" s="47">
        <v>30.385622747252455</v>
      </c>
      <c r="T354" s="18">
        <v>100</v>
      </c>
      <c r="U354" s="51">
        <v>38.700393380644371</v>
      </c>
    </row>
    <row r="355" spans="15:21" x14ac:dyDescent="0.25">
      <c r="O355" s="84">
        <f t="shared" si="10"/>
        <v>1.75</v>
      </c>
      <c r="P355" s="46">
        <v>88.25</v>
      </c>
      <c r="Q355" s="49">
        <v>101.41807878400274</v>
      </c>
      <c r="R355" s="18">
        <v>82.999556038281085</v>
      </c>
      <c r="S355" s="47">
        <v>30.582365177716259</v>
      </c>
      <c r="T355" s="18">
        <v>100</v>
      </c>
      <c r="U355" s="51">
        <v>38.857072154881671</v>
      </c>
    </row>
    <row r="356" spans="15:21" x14ac:dyDescent="0.25">
      <c r="O356" s="84">
        <f t="shared" si="10"/>
        <v>1.5</v>
      </c>
      <c r="P356" s="46">
        <v>88.5</v>
      </c>
      <c r="Q356" s="49">
        <v>100.88943704834114</v>
      </c>
      <c r="R356" s="18">
        <v>83.330658830571579</v>
      </c>
      <c r="S356" s="47">
        <v>30.77990412108737</v>
      </c>
      <c r="T356" s="18">
        <v>100</v>
      </c>
      <c r="U356" s="51">
        <v>39.012081238120395</v>
      </c>
    </row>
    <row r="357" spans="15:21" x14ac:dyDescent="0.25">
      <c r="O357" s="84">
        <f t="shared" si="10"/>
        <v>1.25</v>
      </c>
      <c r="P357" s="46">
        <v>88.75</v>
      </c>
      <c r="Q357" s="49">
        <v>100.36355085772666</v>
      </c>
      <c r="R357" s="18">
        <v>83.658218053169293</v>
      </c>
      <c r="S357" s="47">
        <v>30.978231089104131</v>
      </c>
      <c r="T357" s="18">
        <v>100</v>
      </c>
      <c r="U357" s="51">
        <v>39.165431363771738</v>
      </c>
    </row>
    <row r="358" spans="15:21" x14ac:dyDescent="0.25">
      <c r="O358" s="84">
        <f t="shared" si="10"/>
        <v>1</v>
      </c>
      <c r="P358" s="46">
        <v>89</v>
      </c>
      <c r="Q358" s="49">
        <v>99.840405848880764</v>
      </c>
      <c r="R358" s="18">
        <v>83.982256503048646</v>
      </c>
      <c r="S358" s="47">
        <v>31.177337648070676</v>
      </c>
      <c r="T358" s="18">
        <v>100</v>
      </c>
      <c r="U358" s="51">
        <v>39.317133204467254</v>
      </c>
    </row>
    <row r="359" spans="15:21" x14ac:dyDescent="0.25">
      <c r="O359" s="84">
        <f t="shared" si="10"/>
        <v>0.75</v>
      </c>
      <c r="P359" s="46">
        <v>89.25</v>
      </c>
      <c r="Q359" s="49">
        <v>99.319987733393475</v>
      </c>
      <c r="R359" s="18">
        <v>84.302796848058676</v>
      </c>
      <c r="S359" s="47">
        <v>31.37721541854793</v>
      </c>
      <c r="T359" s="18">
        <v>100</v>
      </c>
      <c r="U359" s="51">
        <v>39.467197372387155</v>
      </c>
    </row>
    <row r="360" spans="15:21" x14ac:dyDescent="0.25">
      <c r="O360" s="84">
        <f t="shared" si="10"/>
        <v>0.5</v>
      </c>
      <c r="P360" s="46">
        <v>89.5</v>
      </c>
      <c r="Q360" s="49">
        <v>98.802282297333164</v>
      </c>
      <c r="R360" s="18">
        <v>84.619861627620608</v>
      </c>
      <c r="S360" s="47">
        <v>31.577856075046309</v>
      </c>
      <c r="T360" s="18">
        <v>100</v>
      </c>
      <c r="U360" s="51">
        <v>39.615634419586861</v>
      </c>
    </row>
    <row r="361" spans="15:21" x14ac:dyDescent="0.25">
      <c r="O361" s="84">
        <f t="shared" si="10"/>
        <v>0.25</v>
      </c>
      <c r="P361" s="46">
        <v>89.75</v>
      </c>
      <c r="Q361" s="49">
        <v>98.28727540085832</v>
      </c>
      <c r="R361" s="18">
        <v>84.93347325342171</v>
      </c>
      <c r="S361" s="47">
        <v>31.779251345720045</v>
      </c>
      <c r="T361" s="18">
        <v>100</v>
      </c>
      <c r="U361" s="51">
        <v>39.762454838321908</v>
      </c>
    </row>
    <row r="362" spans="15:21" x14ac:dyDescent="0.25">
      <c r="O362" s="84">
        <f t="shared" si="10"/>
        <v>0</v>
      </c>
      <c r="P362" s="46">
        <v>90</v>
      </c>
      <c r="Q362" s="49">
        <v>97.774952977831347</v>
      </c>
      <c r="R362" s="18">
        <v>85.243654010105544</v>
      </c>
      <c r="S362" s="47">
        <v>31.98139301206319</v>
      </c>
      <c r="T362" s="18">
        <v>100</v>
      </c>
      <c r="U362" s="51">
        <v>39.907669061371017</v>
      </c>
    </row>
    <row r="363" spans="15:21" x14ac:dyDescent="0.25">
      <c r="O363" s="84">
        <f t="shared" si="10"/>
        <v>-0.25</v>
      </c>
      <c r="P363" s="46">
        <v>90.25</v>
      </c>
      <c r="Q363" s="49">
        <v>97.265301035434405</v>
      </c>
      <c r="R363" s="18">
        <v>85.55042605595844</v>
      </c>
      <c r="S363" s="47">
        <v>32.184272908607241</v>
      </c>
      <c r="T363" s="18">
        <v>99.625</v>
      </c>
      <c r="U363" s="51">
        <v>40.0512874623575</v>
      </c>
    </row>
    <row r="364" spans="15:21" x14ac:dyDescent="0.25">
      <c r="O364" s="84">
        <f t="shared" si="10"/>
        <v>-0.5</v>
      </c>
      <c r="P364" s="46">
        <v>90.5</v>
      </c>
      <c r="Q364" s="49">
        <v>96.774256850438775</v>
      </c>
      <c r="R364" s="18">
        <v>85.844869266490463</v>
      </c>
      <c r="S364" s="47">
        <v>32.380873883070848</v>
      </c>
      <c r="T364" s="18">
        <v>99.25</v>
      </c>
      <c r="U364" s="51">
        <v>40.189133995800177</v>
      </c>
    </row>
    <row r="365" spans="15:21" x14ac:dyDescent="0.25">
      <c r="O365" s="84">
        <f t="shared" si="10"/>
        <v>-0.75</v>
      </c>
      <c r="P365" s="46">
        <v>90.75</v>
      </c>
      <c r="Q365" s="49">
        <v>96.301093508425893</v>
      </c>
      <c r="R365" s="18">
        <v>86.127559475274111</v>
      </c>
      <c r="S365" s="47">
        <v>32.571347016300074</v>
      </c>
      <c r="T365" s="18">
        <v>98.875</v>
      </c>
      <c r="U365" s="51">
        <v>40.321478243944327</v>
      </c>
    </row>
    <row r="366" spans="15:21" x14ac:dyDescent="0.25">
      <c r="O366" s="84">
        <f t="shared" si="10"/>
        <v>-1</v>
      </c>
      <c r="P366" s="46">
        <v>91</v>
      </c>
      <c r="Q366" s="49">
        <v>95.845116413368643</v>
      </c>
      <c r="R366" s="18">
        <v>86.3990406852148</v>
      </c>
      <c r="S366" s="47">
        <v>32.755842901416635</v>
      </c>
      <c r="T366" s="18">
        <v>98.5</v>
      </c>
      <c r="U366" s="51">
        <v>40.448574887190155</v>
      </c>
    </row>
    <row r="367" spans="15:21" x14ac:dyDescent="0.25">
      <c r="O367" s="84">
        <f t="shared" si="10"/>
        <v>-1.25</v>
      </c>
      <c r="P367" s="46">
        <v>91.25</v>
      </c>
      <c r="Q367" s="49">
        <v>95.405661594543744</v>
      </c>
      <c r="R367" s="18">
        <v>86.659827082965549</v>
      </c>
      <c r="S367" s="47">
        <v>32.934511322490792</v>
      </c>
      <c r="T367" s="18">
        <v>98.125</v>
      </c>
      <c r="U367" s="51">
        <v>40.570664647161152</v>
      </c>
    </row>
    <row r="368" spans="15:21" x14ac:dyDescent="0.25">
      <c r="O368" s="84">
        <f t="shared" si="10"/>
        <v>-1.5</v>
      </c>
      <c r="P368" s="46">
        <v>91.5</v>
      </c>
      <c r="Q368" s="49">
        <v>94.982094116632865</v>
      </c>
      <c r="R368" s="18">
        <v>86.91040491301537</v>
      </c>
      <c r="S368" s="47">
        <v>33.10750097035185</v>
      </c>
      <c r="T368" s="18">
        <v>97.75</v>
      </c>
      <c r="U368" s="51">
        <v>40.68797516407728</v>
      </c>
    </row>
    <row r="369" spans="15:21" x14ac:dyDescent="0.25">
      <c r="O369" s="84">
        <f t="shared" si="10"/>
        <v>-1.75</v>
      </c>
      <c r="P369" s="46">
        <v>91.75</v>
      </c>
      <c r="Q369" s="49">
        <v>94.573806585935614</v>
      </c>
      <c r="R369" s="18">
        <v>87.151234222009847</v>
      </c>
      <c r="S369" s="47">
        <v>33.274959192054631</v>
      </c>
      <c r="T369" s="18">
        <v>97.375</v>
      </c>
      <c r="U369" s="51">
        <v>40.800721813376128</v>
      </c>
    </row>
    <row r="370" spans="15:21" x14ac:dyDescent="0.25">
      <c r="O370" s="84">
        <f t="shared" si="10"/>
        <v>-2</v>
      </c>
      <c r="P370" s="46">
        <v>92</v>
      </c>
      <c r="Q370" s="49">
        <v>94.180217746150731</v>
      </c>
      <c r="R370" s="18">
        <v>87.382750483007953</v>
      </c>
      <c r="S370" s="47">
        <v>33.437031770841408</v>
      </c>
      <c r="T370" s="18">
        <v>97</v>
      </c>
      <c r="U370" s="51">
        <v>40.909108466125005</v>
      </c>
    </row>
    <row r="371" spans="15:21" x14ac:dyDescent="0.25">
      <c r="O371" s="84">
        <f t="shared" si="10"/>
        <v>-2.25</v>
      </c>
      <c r="P371" s="46">
        <v>92.25</v>
      </c>
      <c r="Q371" s="49">
        <v>93.800771157671505</v>
      </c>
      <c r="R371" s="18">
        <v>87.605366108598972</v>
      </c>
      <c r="S371" s="47">
        <v>33.593862733729623</v>
      </c>
      <c r="T371" s="18">
        <v>96.625</v>
      </c>
      <c r="U371" s="51">
        <v>41.013328197401698</v>
      </c>
    </row>
    <row r="372" spans="15:21" x14ac:dyDescent="0.25">
      <c r="O372" s="84">
        <f t="shared" si="10"/>
        <v>-2.5</v>
      </c>
      <c r="P372" s="46">
        <v>92.5</v>
      </c>
      <c r="Q372" s="49">
        <v>93.434933954791163</v>
      </c>
      <c r="R372" s="18">
        <v>87.819471861090491</v>
      </c>
      <c r="S372" s="47">
        <v>33.745594184118445</v>
      </c>
      <c r="T372" s="18">
        <v>96.25</v>
      </c>
      <c r="U372" s="51">
        <v>41.113563946488121</v>
      </c>
    </row>
    <row r="373" spans="15:21" x14ac:dyDescent="0.25">
      <c r="O373" s="84">
        <f t="shared" si="10"/>
        <v>-2.75</v>
      </c>
      <c r="P373" s="46">
        <v>92.75</v>
      </c>
      <c r="Q373" s="49">
        <v>93.08219567562746</v>
      </c>
      <c r="R373" s="18">
        <v>88.025438167326868</v>
      </c>
      <c r="S373" s="47">
        <v>33.892366157045764</v>
      </c>
      <c r="T373" s="18">
        <v>95.875</v>
      </c>
      <c r="U373" s="51">
        <v>41.20998913241575</v>
      </c>
    </row>
    <row r="374" spans="15:21" x14ac:dyDescent="0.25">
      <c r="O374" s="84">
        <f t="shared" si="10"/>
        <v>-3</v>
      </c>
      <c r="P374" s="46">
        <v>93</v>
      </c>
      <c r="Q374" s="49">
        <v>92.742067159956221</v>
      </c>
      <c r="R374" s="18">
        <v>88.223616345101092</v>
      </c>
      <c r="S374" s="47">
        <v>34.034316494942772</v>
      </c>
      <c r="T374" s="18">
        <v>95.5</v>
      </c>
      <c r="U374" s="51">
        <v>41.302768228122524</v>
      </c>
    </row>
    <row r="375" spans="15:21" x14ac:dyDescent="0.25">
      <c r="O375" s="84">
        <f t="shared" si="10"/>
        <v>-3.25</v>
      </c>
      <c r="P375" s="46">
        <v>93.25</v>
      </c>
      <c r="Q375" s="49">
        <v>92.414079510493423</v>
      </c>
      <c r="R375" s="18">
        <v>88.414339747577586</v>
      </c>
      <c r="S375" s="47">
        <v>34.171580741929084</v>
      </c>
      <c r="T375" s="18">
        <v>95.125</v>
      </c>
      <c r="U375" s="51">
        <v>41.392057296225921</v>
      </c>
    </row>
    <row r="376" spans="15:21" x14ac:dyDescent="0.25">
      <c r="O376" s="84">
        <f t="shared" si="10"/>
        <v>-3.5</v>
      </c>
      <c r="P376" s="46">
        <v>93.5</v>
      </c>
      <c r="Q376" s="49">
        <v>92.097783113488049</v>
      </c>
      <c r="R376" s="18">
        <v>88.59792483164334</v>
      </c>
      <c r="S376" s="47">
        <v>34.304292054868696</v>
      </c>
      <c r="T376" s="18">
        <v>94.75</v>
      </c>
      <c r="U376" s="51">
        <v>41.478004489182148</v>
      </c>
    </row>
    <row r="377" spans="15:21" x14ac:dyDescent="0.25">
      <c r="O377" s="84">
        <f t="shared" si="10"/>
        <v>-3.75</v>
      </c>
      <c r="P377" s="46">
        <v>93.75</v>
      </c>
      <c r="Q377" s="49">
        <v>91.792746714785039</v>
      </c>
      <c r="R377" s="18">
        <v>88.774672155646925</v>
      </c>
      <c r="S377" s="47">
        <v>34.432581129568121</v>
      </c>
      <c r="T377" s="18">
        <v>94.375</v>
      </c>
      <c r="U377" s="51">
        <v>41.560750516387664</v>
      </c>
    </row>
    <row r="378" spans="15:21" x14ac:dyDescent="0.25">
      <c r="O378" s="84">
        <f t="shared" si="10"/>
        <v>-4</v>
      </c>
      <c r="P378" s="46">
        <v>94</v>
      </c>
      <c r="Q378" s="49">
        <v>91.498556547791367</v>
      </c>
      <c r="R378" s="18">
        <v>88.944867311564749</v>
      </c>
      <c r="S378" s="47">
        <v>34.556576140643962</v>
      </c>
      <c r="T378" s="18">
        <v>94</v>
      </c>
      <c r="U378" s="51">
        <v>41.640429080582152</v>
      </c>
    </row>
    <row r="379" spans="15:21" x14ac:dyDescent="0.25">
      <c r="O379" s="84">
        <f t="shared" si="10"/>
        <v>-4.25</v>
      </c>
      <c r="P379" s="46">
        <v>94.25</v>
      </c>
      <c r="Q379" s="49">
        <v>91.214815510031315</v>
      </c>
      <c r="R379" s="18">
        <v>89.108781796248607</v>
      </c>
      <c r="S379" s="47">
        <v>34.676402693720156</v>
      </c>
      <c r="T379" s="18">
        <v>93.625</v>
      </c>
      <c r="U379" s="51">
        <v>41.717167285731747</v>
      </c>
    </row>
    <row r="380" spans="15:21" x14ac:dyDescent="0.25">
      <c r="O380" s="84">
        <f t="shared" si="10"/>
        <v>-4.5</v>
      </c>
      <c r="P380" s="46">
        <v>94.5</v>
      </c>
      <c r="Q380" s="49">
        <v>90.941142385210142</v>
      </c>
      <c r="R380" s="18">
        <v>89.266673826054628</v>
      </c>
      <c r="S380" s="47">
        <v>34.792183788735315</v>
      </c>
      <c r="T380" s="18">
        <v>93.25</v>
      </c>
      <c r="U380" s="51">
        <v>41.791086018405736</v>
      </c>
    </row>
    <row r="381" spans="15:21" x14ac:dyDescent="0.25">
      <c r="O381" s="84">
        <f t="shared" si="10"/>
        <v>-4.75</v>
      </c>
      <c r="P381" s="46">
        <v>94.75</v>
      </c>
      <c r="Q381" s="49">
        <v>90.677171107920586</v>
      </c>
      <c r="R381" s="18">
        <v>89.418789098829095</v>
      </c>
      <c r="S381" s="47">
        <v>34.904039793250398</v>
      </c>
      <c r="T381" s="18">
        <v>92.875</v>
      </c>
      <c r="U381" s="51">
        <v>41.862300304507826</v>
      </c>
    </row>
    <row r="382" spans="15:21" x14ac:dyDescent="0.25">
      <c r="O382" s="84">
        <f t="shared" si="10"/>
        <v>-5</v>
      </c>
      <c r="P382" s="46">
        <v>95</v>
      </c>
      <c r="Q382" s="49">
        <v>90.422550068326188</v>
      </c>
      <c r="R382" s="18">
        <v>89.565361506927488</v>
      </c>
      <c r="S382" s="47">
        <v>35.012088424746409</v>
      </c>
      <c r="T382" s="18">
        <v>92.5</v>
      </c>
      <c r="U382" s="51">
        <v>41.930919643083172</v>
      </c>
    </row>
    <row r="383" spans="15:21" x14ac:dyDescent="0.25">
      <c r="O383" s="84">
        <f t="shared" si="10"/>
        <v>-5.25</v>
      </c>
      <c r="P383" s="46">
        <v>95.25</v>
      </c>
      <c r="Q383" s="49">
        <v>90.176941454339058</v>
      </c>
      <c r="R383" s="18">
        <v>89.706613804668677</v>
      </c>
      <c r="S383" s="47">
        <v>35.116444740992357</v>
      </c>
      <c r="T383" s="18">
        <v>92.125</v>
      </c>
      <c r="U383" s="51">
        <v>41.997048318793688</v>
      </c>
    </row>
    <row r="384" spans="15:21" x14ac:dyDescent="0.25">
      <c r="O384" s="84">
        <f t="shared" si="10"/>
        <v>-5.5</v>
      </c>
      <c r="P384" s="46">
        <v>95.5</v>
      </c>
      <c r="Q384" s="49">
        <v>89.94002062898015</v>
      </c>
      <c r="R384" s="18">
        <v>89.842758233373644</v>
      </c>
      <c r="S384" s="47">
        <v>35.217221137646291</v>
      </c>
      <c r="T384" s="18">
        <v>91.75</v>
      </c>
      <c r="U384" s="51">
        <v>42.0607856945362</v>
      </c>
    </row>
    <row r="385" spans="15:21" x14ac:dyDescent="0.25">
      <c r="O385" s="84">
        <f t="shared" si="10"/>
        <v>-5.75</v>
      </c>
      <c r="P385" s="46">
        <v>95.75</v>
      </c>
      <c r="Q385" s="49">
        <v>89.711475540767694</v>
      </c>
      <c r="R385" s="18">
        <v>89.973997106905301</v>
      </c>
      <c r="S385" s="47">
        <v>35.31452735232709</v>
      </c>
      <c r="T385" s="18">
        <v>91.375</v>
      </c>
      <c r="U385" s="51">
        <v>42.122226485568788</v>
      </c>
    </row>
    <row r="386" spans="15:21" x14ac:dyDescent="0.25">
      <c r="O386" s="84">
        <f t="shared" si="10"/>
        <v>-6</v>
      </c>
      <c r="P386" s="46">
        <v>96</v>
      </c>
      <c r="Q386" s="49">
        <v>89.49100616512537</v>
      </c>
      <c r="R386" s="18">
        <v>90.100523360411685</v>
      </c>
      <c r="S386" s="47">
        <v>35.40847047446303</v>
      </c>
      <c r="T386" s="18">
        <v>91</v>
      </c>
      <c r="U386" s="51">
        <v>42.181461016410339</v>
      </c>
    </row>
    <row r="387" spans="15:21" x14ac:dyDescent="0.25">
      <c r="O387" s="84">
        <f t="shared" ref="O387:O450" si="12">90-P387</f>
        <v>-6.25</v>
      </c>
      <c r="P387" s="46">
        <v>96.25</v>
      </c>
      <c r="Q387" s="49">
        <v>89.278323974936953</v>
      </c>
      <c r="R387" s="18">
        <v>90.222521064777638</v>
      </c>
      <c r="S387" s="47">
        <v>35.499154960285487</v>
      </c>
      <c r="T387" s="18">
        <v>90.625</v>
      </c>
      <c r="U387" s="51">
        <v>42.238575461686295</v>
      </c>
    </row>
    <row r="388" spans="15:21" x14ac:dyDescent="0.25">
      <c r="O388" s="84">
        <f t="shared" si="12"/>
        <v>-6.5</v>
      </c>
      <c r="P388" s="46">
        <v>96.5</v>
      </c>
      <c r="Q388" s="49">
        <v>89.073151438499437</v>
      </c>
      <c r="R388" s="18">
        <v>90.340165909107967</v>
      </c>
      <c r="S388" s="47">
        <v>35.586682652392668</v>
      </c>
      <c r="T388" s="18">
        <v>90.25</v>
      </c>
      <c r="U388" s="51">
        <v>42.293652072007987</v>
      </c>
    </row>
    <row r="389" spans="15:21" x14ac:dyDescent="0.25">
      <c r="O389" s="84">
        <f t="shared" si="12"/>
        <v>-6.75</v>
      </c>
      <c r="P389" s="46">
        <v>96.75</v>
      </c>
      <c r="Q389" s="49">
        <v>88.875221543243001</v>
      </c>
      <c r="R389" s="18">
        <v>90.453625653397054</v>
      </c>
      <c r="S389" s="47">
        <v>35.671152803360016</v>
      </c>
      <c r="T389" s="18">
        <v>89.875</v>
      </c>
      <c r="U389" s="51">
        <v>42.346769385894362</v>
      </c>
    </row>
    <row r="390" spans="15:21" x14ac:dyDescent="0.25">
      <c r="O390" s="84">
        <f t="shared" si="12"/>
        <v>-7</v>
      </c>
      <c r="P390" s="46">
        <v>97</v>
      </c>
      <c r="Q390" s="49">
        <v>88.68427734369385</v>
      </c>
      <c r="R390" s="18">
        <v>90.563060553385128</v>
      </c>
      <c r="S390" s="47">
        <v>35.7526621029211</v>
      </c>
      <c r="T390" s="18">
        <v>89.5</v>
      </c>
      <c r="U390" s="51">
        <v>42.398002428672783</v>
      </c>
    </row>
    <row r="391" spans="15:21" x14ac:dyDescent="0.25">
      <c r="O391" s="84">
        <f t="shared" si="12"/>
        <v>-7.25</v>
      </c>
      <c r="P391" s="46">
        <v>97.25</v>
      </c>
      <c r="Q391" s="49">
        <v>88.500071532256101</v>
      </c>
      <c r="R391" s="18">
        <v>90.668623759458328</v>
      </c>
      <c r="S391" s="47">
        <v>35.83130470828565</v>
      </c>
      <c r="T391" s="18">
        <v>89.125</v>
      </c>
      <c r="U391" s="51">
        <v>42.447422899228009</v>
      </c>
    </row>
    <row r="392" spans="15:21" x14ac:dyDescent="0.25">
      <c r="O392" s="84">
        <f t="shared" si="12"/>
        <v>-7.5</v>
      </c>
      <c r="P392" s="46">
        <v>97.5</v>
      </c>
      <c r="Q392" s="49">
        <v>88.322366031481906</v>
      </c>
      <c r="R392" s="18">
        <v>90.770461691317436</v>
      </c>
      <c r="S392" s="47">
        <v>35.907172277200736</v>
      </c>
      <c r="T392" s="18">
        <v>88.75</v>
      </c>
      <c r="U392" s="51">
        <v>42.495099345407176</v>
      </c>
    </row>
    <row r="393" spans="15:21" x14ac:dyDescent="0.25">
      <c r="O393" s="84">
        <f t="shared" si="12"/>
        <v>-7.75</v>
      </c>
      <c r="P393" s="46">
        <v>97.75</v>
      </c>
      <c r="Q393" s="49">
        <v>88.150931606585189</v>
      </c>
      <c r="R393" s="18">
        <v>90.868714390018155</v>
      </c>
      <c r="S393" s="47">
        <v>35.980354003396741</v>
      </c>
      <c r="T393" s="18">
        <v>88.375</v>
      </c>
      <c r="U393" s="51">
        <v>42.541097328830894</v>
      </c>
    </row>
    <row r="394" spans="15:21" x14ac:dyDescent="0.25">
      <c r="O394" s="84">
        <f t="shared" si="12"/>
        <v>-8</v>
      </c>
      <c r="P394" s="46">
        <v>98</v>
      </c>
      <c r="Q394" s="49">
        <v>87.985547497034887</v>
      </c>
      <c r="R394" s="18">
        <v>90.963515848872674</v>
      </c>
      <c r="S394" s="47">
        <v>36.050936654092524</v>
      </c>
      <c r="T394" s="18">
        <v>88</v>
      </c>
      <c r="U394" s="51">
        <v>42.585479579808236</v>
      </c>
    </row>
    <row r="395" spans="15:21" x14ac:dyDescent="0.25">
      <c r="O395" s="84">
        <f t="shared" si="12"/>
        <v>-8.25</v>
      </c>
      <c r="P395" s="46">
        <v>98.25</v>
      </c>
      <c r="Q395" s="49">
        <v>87.826001066138005</v>
      </c>
      <c r="R395" s="18">
        <v>91.054994324598141</v>
      </c>
      <c r="S395" s="47">
        <v>36.119004609263939</v>
      </c>
      <c r="T395" s="18">
        <v>87.625</v>
      </c>
      <c r="U395" s="51">
        <v>42.628306143003861</v>
      </c>
    </row>
    <row r="396" spans="15:21" x14ac:dyDescent="0.25">
      <c r="O396" s="84">
        <f t="shared" si="12"/>
        <v>-8.5</v>
      </c>
      <c r="P396" s="46">
        <v>98.5</v>
      </c>
      <c r="Q396" s="49">
        <v>87.672087467592405</v>
      </c>
      <c r="R396" s="18">
        <v>91.143272630000595</v>
      </c>
      <c r="S396" s="47">
        <v>36.184639902407092</v>
      </c>
      <c r="T396" s="18">
        <v>87.25</v>
      </c>
      <c r="U396" s="51">
        <v>42.66963451446108</v>
      </c>
    </row>
    <row r="397" spans="15:21" x14ac:dyDescent="0.25">
      <c r="O397" s="84">
        <f t="shared" si="12"/>
        <v>-8.75</v>
      </c>
      <c r="P397" s="46">
        <v>98.75</v>
      </c>
      <c r="Q397" s="49">
        <v>87.52360932805378</v>
      </c>
      <c r="R397" s="18">
        <v>91.228468409393685</v>
      </c>
      <c r="S397" s="47">
        <v>36.247922262552628</v>
      </c>
      <c r="T397" s="18">
        <v>86.875</v>
      </c>
      <c r="U397" s="51">
        <v>42.709519770541746</v>
      </c>
    </row>
    <row r="398" spans="15:21" x14ac:dyDescent="0.25">
      <c r="O398" s="84">
        <f t="shared" si="12"/>
        <v>-9</v>
      </c>
      <c r="P398" s="46">
        <v>99</v>
      </c>
      <c r="Q398" s="49">
        <v>87.380376444821607</v>
      </c>
      <c r="R398" s="18">
        <v>91.310694397868474</v>
      </c>
      <c r="S398" s="47">
        <v>36.308929157310004</v>
      </c>
      <c r="T398" s="18">
        <v>86.5</v>
      </c>
      <c r="U398" s="51">
        <v>42.748014689306103</v>
      </c>
    </row>
    <row r="399" spans="15:21" x14ac:dyDescent="0.25">
      <c r="O399" s="84">
        <f t="shared" si="12"/>
        <v>-9.25</v>
      </c>
      <c r="P399" s="46">
        <v>99.25</v>
      </c>
      <c r="Q399" s="49">
        <v>87.242205497804719</v>
      </c>
      <c r="R399" s="18">
        <v>91.390058665453864</v>
      </c>
      <c r="S399" s="47">
        <v>36.367735836741502</v>
      </c>
      <c r="T399" s="18">
        <v>86.125</v>
      </c>
      <c r="U399" s="51">
        <v>42.785169864818883</v>
      </c>
    </row>
    <row r="400" spans="15:21" x14ac:dyDescent="0.25">
      <c r="O400" s="84">
        <f t="shared" si="12"/>
        <v>-9.5</v>
      </c>
      <c r="P400" s="46">
        <v>99.5</v>
      </c>
      <c r="Q400" s="49">
        <v>87.108919774979626</v>
      </c>
      <c r="R400" s="18">
        <v>91.466664847135789</v>
      </c>
      <c r="S400" s="47">
        <v>36.424415377884678</v>
      </c>
      <c r="T400" s="18">
        <v>85.75</v>
      </c>
      <c r="U400" s="51">
        <v>42.82103381483509</v>
      </c>
    </row>
    <row r="401" spans="15:21" x14ac:dyDescent="0.25">
      <c r="O401" s="84">
        <f t="shared" si="12"/>
        <v>-9.75</v>
      </c>
      <c r="P401" s="46">
        <v>99.75</v>
      </c>
      <c r="Q401" s="49">
        <v>86.980348910603212</v>
      </c>
      <c r="R401" s="18">
        <v>91.540612359637578</v>
      </c>
      <c r="S401" s="47">
        <v>36.47903872975931</v>
      </c>
      <c r="T401" s="18">
        <v>85.375</v>
      </c>
      <c r="U401" s="51">
        <v>42.85565308228793</v>
      </c>
    </row>
    <row r="402" spans="15:21" x14ac:dyDescent="0.25">
      <c r="O402" s="84">
        <f t="shared" si="12"/>
        <v>-10</v>
      </c>
      <c r="P402" s="46">
        <v>100</v>
      </c>
      <c r="Q402" s="49">
        <v>228.85632863548713</v>
      </c>
      <c r="R402" s="18">
        <v>91.611996605802233</v>
      </c>
      <c r="S402" s="47">
        <v>36.531674758710729</v>
      </c>
      <c r="T402" s="18">
        <v>85</v>
      </c>
      <c r="U402" s="51">
        <v>42.889072330972375</v>
      </c>
    </row>
    <row r="403" spans="15:21" x14ac:dyDescent="0.25">
      <c r="O403" s="84">
        <f t="shared" si="12"/>
        <v>-10.25</v>
      </c>
      <c r="P403" s="46">
        <v>100.25</v>
      </c>
      <c r="Q403" s="49">
        <v>228.54112250754821</v>
      </c>
      <c r="R403" s="18">
        <v>91.876487198495965</v>
      </c>
      <c r="S403" s="47">
        <v>36.582390293955918</v>
      </c>
      <c r="T403" s="18">
        <v>84.875</v>
      </c>
      <c r="U403" s="51">
        <v>43.012896246847873</v>
      </c>
    </row>
    <row r="404" spans="15:21" x14ac:dyDescent="0.25">
      <c r="O404" s="84">
        <f t="shared" si="12"/>
        <v>-10.5</v>
      </c>
      <c r="P404" s="46">
        <v>100.5</v>
      </c>
      <c r="Q404" s="49">
        <v>228.22996820754435</v>
      </c>
      <c r="R404" s="18">
        <v>92.13741975001048</v>
      </c>
      <c r="S404" s="47">
        <v>36.632612042445274</v>
      </c>
      <c r="T404" s="18">
        <v>84.75</v>
      </c>
      <c r="U404" s="51">
        <v>43.135054430164907</v>
      </c>
    </row>
    <row r="405" spans="15:21" x14ac:dyDescent="0.25">
      <c r="O405" s="84">
        <f t="shared" si="12"/>
        <v>-10.75</v>
      </c>
      <c r="P405" s="46">
        <v>100.75</v>
      </c>
      <c r="Q405" s="49">
        <v>227.92281126248852</v>
      </c>
      <c r="R405" s="18">
        <v>92.394846698221471</v>
      </c>
      <c r="S405" s="47">
        <v>36.682342039290113</v>
      </c>
      <c r="T405" s="18">
        <v>84.625</v>
      </c>
      <c r="U405" s="51">
        <v>43.255571430239364</v>
      </c>
    </row>
    <row r="406" spans="15:21" x14ac:dyDescent="0.25">
      <c r="O406" s="84">
        <f t="shared" si="12"/>
        <v>-11</v>
      </c>
      <c r="P406" s="46">
        <v>101</v>
      </c>
      <c r="Q406" s="49">
        <v>227.61959801555363</v>
      </c>
      <c r="R406" s="18">
        <v>92.648819584272545</v>
      </c>
      <c r="S406" s="47">
        <v>36.731582400173934</v>
      </c>
      <c r="T406" s="18">
        <v>84.5</v>
      </c>
      <c r="U406" s="51">
        <v>43.374471376573034</v>
      </c>
    </row>
    <row r="407" spans="15:21" x14ac:dyDescent="0.25">
      <c r="O407" s="84">
        <f t="shared" si="12"/>
        <v>-11.25</v>
      </c>
      <c r="P407" s="46">
        <v>101.25</v>
      </c>
      <c r="Q407" s="49">
        <v>227.32027561172831</v>
      </c>
      <c r="R407" s="18">
        <v>92.899389070614149</v>
      </c>
      <c r="S407" s="47">
        <v>36.780335317657659</v>
      </c>
      <c r="T407" s="18">
        <v>84.375</v>
      </c>
      <c r="U407" s="51">
        <v>43.491777987298718</v>
      </c>
    </row>
    <row r="408" spans="15:21" x14ac:dyDescent="0.25">
      <c r="O408" s="84">
        <f t="shared" si="12"/>
        <v>-11.5</v>
      </c>
      <c r="P408" s="46">
        <v>101.5</v>
      </c>
      <c r="Q408" s="49">
        <v>227.0247919837696</v>
      </c>
      <c r="R408" s="18">
        <v>93.14660495862806</v>
      </c>
      <c r="S408" s="47">
        <v>36.828603057602457</v>
      </c>
      <c r="T408" s="18">
        <v>84.25</v>
      </c>
      <c r="U408" s="51">
        <v>43.60751457743131</v>
      </c>
    </row>
    <row r="409" spans="15:21" x14ac:dyDescent="0.25">
      <c r="O409" s="84">
        <f t="shared" si="12"/>
        <v>-11.75</v>
      </c>
      <c r="P409" s="46">
        <v>101.75</v>
      </c>
      <c r="Q409" s="49">
        <v>226.73309583844505</v>
      </c>
      <c r="R409" s="18">
        <v>93.390516205848328</v>
      </c>
      <c r="S409" s="47">
        <v>36.876387955706747</v>
      </c>
      <c r="T409" s="18">
        <v>84.125</v>
      </c>
      <c r="U409" s="51">
        <v>43.721704066929952</v>
      </c>
    </row>
    <row r="410" spans="15:21" x14ac:dyDescent="0.25">
      <c r="O410" s="84">
        <f t="shared" si="12"/>
        <v>-12</v>
      </c>
      <c r="P410" s="46">
        <v>102</v>
      </c>
      <c r="Q410" s="49">
        <v>226.44513664305774</v>
      </c>
      <c r="R410" s="18">
        <v>93.631170942788543</v>
      </c>
      <c r="S410" s="47">
        <v>36.923692414153848</v>
      </c>
      <c r="T410" s="18">
        <v>84</v>
      </c>
      <c r="U410" s="51">
        <v>43.834368988575882</v>
      </c>
    </row>
    <row r="411" spans="15:21" x14ac:dyDescent="0.25">
      <c r="O411" s="84">
        <f t="shared" si="12"/>
        <v>-12.25</v>
      </c>
      <c r="P411" s="46">
        <v>102.25</v>
      </c>
      <c r="Q411" s="49">
        <v>226.16086461224739</v>
      </c>
      <c r="R411" s="18">
        <v>93.86861648938563</v>
      </c>
      <c r="S411" s="47">
        <v>36.970518898367096</v>
      </c>
      <c r="T411" s="18">
        <v>83.875</v>
      </c>
      <c r="U411" s="51">
        <v>43.945531495670778</v>
      </c>
    </row>
    <row r="412" spans="15:21" x14ac:dyDescent="0.25">
      <c r="O412" s="84">
        <f t="shared" si="12"/>
        <v>-12.5</v>
      </c>
      <c r="P412" s="46">
        <v>102.5</v>
      </c>
      <c r="Q412" s="49">
        <v>225.8802306950613</v>
      </c>
      <c r="R412" s="18">
        <v>94.102899371069682</v>
      </c>
      <c r="S412" s="47">
        <v>37.016869933869138</v>
      </c>
      <c r="T412" s="18">
        <v>83.75</v>
      </c>
      <c r="U412" s="51">
        <v>44.055213369559979</v>
      </c>
    </row>
    <row r="413" spans="15:21" x14ac:dyDescent="0.25">
      <c r="O413" s="84">
        <f t="shared" si="12"/>
        <v>-12.75</v>
      </c>
      <c r="P413" s="46">
        <v>102.75</v>
      </c>
      <c r="Q413" s="49">
        <v>225.60318656228861</v>
      </c>
      <c r="R413" s="18">
        <v>94.334065334469187</v>
      </c>
      <c r="S413" s="47">
        <v>37.06274810324232</v>
      </c>
      <c r="T413" s="18">
        <v>83.625</v>
      </c>
      <c r="U413" s="51">
        <v>44.163436026985096</v>
      </c>
    </row>
    <row r="414" spans="15:21" x14ac:dyDescent="0.25">
      <c r="O414" s="84">
        <f t="shared" si="12"/>
        <v>-13</v>
      </c>
      <c r="P414" s="46">
        <v>103</v>
      </c>
      <c r="Q414" s="49">
        <v>225.329684594052</v>
      </c>
      <c r="R414" s="18">
        <v>94.562159362760937</v>
      </c>
      <c r="S414" s="47">
        <v>37.108156043187201</v>
      </c>
      <c r="T414" s="18">
        <v>83.5</v>
      </c>
      <c r="U414" s="51">
        <v>44.270220527270162</v>
      </c>
    </row>
    <row r="415" spans="15:21" x14ac:dyDescent="0.25">
      <c r="O415" s="84">
        <f t="shared" si="12"/>
        <v>-13.25</v>
      </c>
      <c r="P415" s="46">
        <v>103.25</v>
      </c>
      <c r="Q415" s="49">
        <v>225.05967786765058</v>
      </c>
      <c r="R415" s="18">
        <v>94.787225690673338</v>
      </c>
      <c r="S415" s="47">
        <v>37.153096441676205</v>
      </c>
      <c r="T415" s="18">
        <v>83.375</v>
      </c>
      <c r="U415" s="51">
        <v>44.375587579345634</v>
      </c>
    </row>
    <row r="416" spans="15:21" x14ac:dyDescent="0.25">
      <c r="O416" s="84">
        <f t="shared" si="12"/>
        <v>-13.5</v>
      </c>
      <c r="P416" s="46">
        <v>103.5</v>
      </c>
      <c r="Q416" s="49">
        <v>224.79312014564857</v>
      </c>
      <c r="R416" s="18">
        <v>95.009307819151914</v>
      </c>
      <c r="S416" s="47">
        <v>37.197572035199649</v>
      </c>
      <c r="T416" s="18">
        <v>83.25</v>
      </c>
      <c r="U416" s="51">
        <v>44.479557548614167</v>
      </c>
    </row>
    <row r="417" spans="15:21" x14ac:dyDescent="0.25">
      <c r="O417" s="84">
        <f t="shared" si="12"/>
        <v>-13.75</v>
      </c>
      <c r="P417" s="46">
        <v>103.75</v>
      </c>
      <c r="Q417" s="49">
        <v>224.52996586420349</v>
      </c>
      <c r="R417" s="18">
        <v>95.228448529695314</v>
      </c>
      <c r="S417" s="47">
        <v>37.24158560610131</v>
      </c>
      <c r="T417" s="18">
        <v>83.125</v>
      </c>
      <c r="U417" s="51">
        <v>44.582150463662153</v>
      </c>
    </row>
    <row r="418" spans="15:21" x14ac:dyDescent="0.25">
      <c r="O418" s="84">
        <f t="shared" si="12"/>
        <v>-14</v>
      </c>
      <c r="P418" s="46">
        <v>104</v>
      </c>
      <c r="Q418" s="49">
        <v>224.27017012162904</v>
      </c>
      <c r="R418" s="18">
        <v>95.444689898370086</v>
      </c>
      <c r="S418" s="47">
        <v>37.285139980000991</v>
      </c>
      <c r="T418" s="18">
        <v>83</v>
      </c>
      <c r="U418" s="51">
        <v>44.68338602282094</v>
      </c>
    </row>
    <row r="419" spans="15:21" x14ac:dyDescent="0.25">
      <c r="O419" s="84">
        <f t="shared" si="12"/>
        <v>-14.25</v>
      </c>
      <c r="P419" s="46">
        <v>104.25</v>
      </c>
      <c r="Q419" s="49">
        <v>224.0136886671867</v>
      </c>
      <c r="R419" s="18">
        <v>95.658073309512062</v>
      </c>
      <c r="S419" s="47">
        <v>37.32823802330136</v>
      </c>
      <c r="T419" s="18">
        <v>82.875</v>
      </c>
      <c r="U419" s="51">
        <v>44.783283600581164</v>
      </c>
    </row>
    <row r="420" spans="15:21" x14ac:dyDescent="0.25">
      <c r="O420" s="84">
        <f t="shared" si="12"/>
        <v>-14.5</v>
      </c>
      <c r="P420" s="46">
        <v>104.5</v>
      </c>
      <c r="Q420" s="49">
        <v>223.76047789010116</v>
      </c>
      <c r="R420" s="18">
        <v>95.868639469122272</v>
      </c>
      <c r="S420" s="47">
        <v>37.370882640776692</v>
      </c>
      <c r="T420" s="18">
        <v>82.75</v>
      </c>
      <c r="U420" s="51">
        <v>44.881862253864284</v>
      </c>
    </row>
    <row r="421" spans="15:21" x14ac:dyDescent="0.25">
      <c r="O421" s="84">
        <f t="shared" si="12"/>
        <v>-14.75</v>
      </c>
      <c r="P421" s="46">
        <v>104.75</v>
      </c>
      <c r="Q421" s="49">
        <v>223.51049480879436</v>
      </c>
      <c r="R421" s="18">
        <v>96.076428417964792</v>
      </c>
      <c r="S421" s="47">
        <v>37.413076773240959</v>
      </c>
      <c r="T421" s="18">
        <v>82.625</v>
      </c>
      <c r="U421" s="51">
        <v>44.979140728154391</v>
      </c>
    </row>
    <row r="422" spans="15:21" x14ac:dyDescent="0.25">
      <c r="O422" s="84">
        <f t="shared" si="12"/>
        <v>-15</v>
      </c>
      <c r="P422" s="46">
        <v>105</v>
      </c>
      <c r="Q422" s="49">
        <v>223.26369706033316</v>
      </c>
      <c r="R422" s="18">
        <v>96.281479544373923</v>
      </c>
      <c r="S422" s="47">
        <v>37.454823395293012</v>
      </c>
      <c r="T422" s="18">
        <v>82.5</v>
      </c>
      <c r="U422" s="51">
        <v>45.075137463494094</v>
      </c>
    </row>
    <row r="423" spans="15:21" x14ac:dyDescent="0.25">
      <c r="O423" s="84">
        <f t="shared" si="12"/>
        <v>-15.25</v>
      </c>
      <c r="P423" s="46">
        <v>105.25</v>
      </c>
      <c r="Q423" s="49">
        <v>223.0200428900857</v>
      </c>
      <c r="R423" s="18">
        <v>96.483831596777875</v>
      </c>
      <c r="S423" s="47">
        <v>37.496125513136505</v>
      </c>
      <c r="T423" s="18">
        <v>82.375</v>
      </c>
      <c r="U423" s="51">
        <v>45.169870600347529</v>
      </c>
    </row>
    <row r="424" spans="15:21" x14ac:dyDescent="0.25">
      <c r="O424" s="84">
        <f t="shared" si="12"/>
        <v>-15.5</v>
      </c>
      <c r="P424" s="46">
        <v>105.5</v>
      </c>
      <c r="Q424" s="49">
        <v>222.77949114158196</v>
      </c>
      <c r="R424" s="18">
        <v>96.683522695945783</v>
      </c>
      <c r="S424" s="47">
        <v>37.536986162472346</v>
      </c>
      <c r="T424" s="18">
        <v>82.25</v>
      </c>
      <c r="U424" s="51">
        <v>45.263357985333982</v>
      </c>
    </row>
    <row r="425" spans="15:21" x14ac:dyDescent="0.25">
      <c r="O425" s="84">
        <f t="shared" si="12"/>
        <v>-15.75</v>
      </c>
      <c r="P425" s="46">
        <v>105.75</v>
      </c>
      <c r="Q425" s="49">
        <v>222.54200124657351</v>
      </c>
      <c r="R425" s="18">
        <v>96.880590346965022</v>
      </c>
      <c r="S425" s="47">
        <v>37.577408406461544</v>
      </c>
      <c r="T425" s="18">
        <v>82.125</v>
      </c>
      <c r="U425" s="51">
        <v>45.355617176835146</v>
      </c>
    </row>
    <row r="426" spans="15:21" x14ac:dyDescent="0.25">
      <c r="O426" s="84">
        <f t="shared" si="12"/>
        <v>-16</v>
      </c>
      <c r="P426" s="46">
        <v>106</v>
      </c>
      <c r="Q426" s="49">
        <v>222.30753321528849</v>
      </c>
      <c r="R426" s="18">
        <v>97.075071450955221</v>
      </c>
      <c r="S426" s="47">
        <v>37.617395333756349</v>
      </c>
      <c r="T426" s="18">
        <v>82</v>
      </c>
      <c r="U426" s="51">
        <v>45.446665450479195</v>
      </c>
    </row>
    <row r="427" spans="15:21" x14ac:dyDescent="0.25">
      <c r="O427" s="84">
        <f t="shared" si="12"/>
        <v>-16.25</v>
      </c>
      <c r="P427" s="46">
        <v>106.25</v>
      </c>
      <c r="Q427" s="49">
        <v>222.07604762687689</v>
      </c>
      <c r="R427" s="18">
        <v>97.267002316525506</v>
      </c>
      <c r="S427" s="47">
        <v>37.656950056597665</v>
      </c>
      <c r="T427" s="18">
        <v>81.875</v>
      </c>
      <c r="U427" s="51">
        <v>45.536519804504579</v>
      </c>
    </row>
    <row r="428" spans="15:21" x14ac:dyDescent="0.25">
      <c r="O428" s="84">
        <f t="shared" si="12"/>
        <v>-16.5</v>
      </c>
      <c r="P428" s="46">
        <v>106.5</v>
      </c>
      <c r="Q428" s="49">
        <v>221.84750562004217</v>
      </c>
      <c r="R428" s="18">
        <v>97.456418670981151</v>
      </c>
      <c r="S428" s="47">
        <v>37.696075708976736</v>
      </c>
      <c r="T428" s="18">
        <v>81.75</v>
      </c>
      <c r="U428" s="51">
        <v>45.625196965006531</v>
      </c>
    </row>
    <row r="429" spans="15:21" x14ac:dyDescent="0.25">
      <c r="O429" s="84">
        <f t="shared" si="12"/>
        <v>-16.75</v>
      </c>
      <c r="P429" s="46">
        <v>106.75</v>
      </c>
      <c r="Q429" s="49">
        <v>221.62186888385503</v>
      </c>
      <c r="R429" s="18">
        <v>97.643355671285804</v>
      </c>
      <c r="S429" s="47">
        <v>37.734775444859238</v>
      </c>
      <c r="T429" s="18">
        <v>81.625</v>
      </c>
      <c r="U429" s="51">
        <v>45.712713391069158</v>
      </c>
    </row>
    <row r="430" spans="15:21" x14ac:dyDescent="0.25">
      <c r="O430" s="84">
        <f t="shared" si="12"/>
        <v>-17</v>
      </c>
      <c r="P430" s="46">
        <v>107</v>
      </c>
      <c r="Q430" s="49">
        <v>221.39909964874511</v>
      </c>
      <c r="R430" s="18">
        <v>97.827847914785067</v>
      </c>
      <c r="S430" s="47">
        <v>37.773052436469904</v>
      </c>
      <c r="T430" s="18">
        <v>81.5</v>
      </c>
      <c r="U430" s="51">
        <v>45.799085279785778</v>
      </c>
    </row>
    <row r="431" spans="15:21" x14ac:dyDescent="0.25">
      <c r="O431" s="84">
        <f t="shared" si="12"/>
        <v>-17.25</v>
      </c>
      <c r="P431" s="46">
        <v>107.25</v>
      </c>
      <c r="Q431" s="49">
        <v>221.17916067766683</v>
      </c>
      <c r="R431" s="18">
        <v>98.009929449697381</v>
      </c>
      <c r="S431" s="47">
        <v>37.810909872635889</v>
      </c>
      <c r="T431" s="18">
        <v>81.375</v>
      </c>
      <c r="U431" s="51">
        <v>45.884328571170322</v>
      </c>
    </row>
    <row r="432" spans="15:21" x14ac:dyDescent="0.25">
      <c r="O432" s="84">
        <f t="shared" si="12"/>
        <v>-17.5</v>
      </c>
      <c r="P432" s="46">
        <v>107.5</v>
      </c>
      <c r="Q432" s="49">
        <v>220.96201525743541</v>
      </c>
      <c r="R432" s="18">
        <v>98.18963378537758</v>
      </c>
      <c r="S432" s="47">
        <v>37.848350957187094</v>
      </c>
      <c r="T432" s="18">
        <v>81.25</v>
      </c>
      <c r="U432" s="51">
        <v>45.968458952962372</v>
      </c>
    </row>
    <row r="433" spans="15:21" x14ac:dyDescent="0.25">
      <c r="O433" s="84">
        <f t="shared" si="12"/>
        <v>-17.75</v>
      </c>
      <c r="P433" s="46">
        <v>107.75</v>
      </c>
      <c r="Q433" s="49">
        <v>220.74762719022934</v>
      </c>
      <c r="R433" s="18">
        <v>98.366993902358914</v>
      </c>
      <c r="S433" s="47">
        <v>37.885378907411834</v>
      </c>
      <c r="T433" s="18">
        <v>81.125</v>
      </c>
      <c r="U433" s="51">
        <v>46.051491865328344</v>
      </c>
    </row>
    <row r="434" spans="15:21" x14ac:dyDescent="0.25">
      <c r="O434" s="84">
        <f t="shared" si="12"/>
        <v>-18</v>
      </c>
      <c r="P434" s="46">
        <v>108</v>
      </c>
      <c r="Q434" s="49">
        <v>220.5359607852555</v>
      </c>
      <c r="R434" s="18">
        <v>98.542042262178484</v>
      </c>
      <c r="S434" s="47">
        <v>37.921996952566118</v>
      </c>
      <c r="T434" s="18">
        <v>81</v>
      </c>
      <c r="U434" s="51">
        <v>46.133442505461481</v>
      </c>
    </row>
    <row r="435" spans="15:21" x14ac:dyDescent="0.25">
      <c r="O435" s="84">
        <f t="shared" si="12"/>
        <v>-18.25</v>
      </c>
      <c r="P435" s="46">
        <v>108.25</v>
      </c>
      <c r="Q435" s="49">
        <v>220.32698085057348</v>
      </c>
      <c r="R435" s="18">
        <v>98.714810816991601</v>
      </c>
      <c r="S435" s="47">
        <v>37.958208332434999</v>
      </c>
      <c r="T435" s="18">
        <v>80.875</v>
      </c>
      <c r="U435" s="51">
        <v>46.214325832082785</v>
      </c>
    </row>
    <row r="436" spans="15:21" x14ac:dyDescent="0.25">
      <c r="O436" s="84">
        <f t="shared" si="12"/>
        <v>-18.5</v>
      </c>
      <c r="P436" s="46">
        <v>108.5</v>
      </c>
      <c r="Q436" s="49">
        <v>220.12065268507567</v>
      </c>
      <c r="R436" s="18">
        <v>98.885331018979969</v>
      </c>
      <c r="S436" s="47">
        <v>37.994016295944434</v>
      </c>
      <c r="T436" s="18">
        <v>80.75</v>
      </c>
      <c r="U436" s="51">
        <v>46.294156569845669</v>
      </c>
    </row>
    <row r="437" spans="15:21" x14ac:dyDescent="0.25">
      <c r="O437" s="84">
        <f t="shared" si="12"/>
        <v>-18.75</v>
      </c>
      <c r="P437" s="46">
        <v>108.75</v>
      </c>
      <c r="Q437" s="49">
        <v>219.9169420706194</v>
      </c>
      <c r="R437" s="18">
        <v>99.053633829558521</v>
      </c>
      <c r="S437" s="47">
        <v>38.029424099822137</v>
      </c>
      <c r="T437" s="18">
        <v>80.625</v>
      </c>
      <c r="U437" s="51">
        <v>46.372949213646116</v>
      </c>
    </row>
    <row r="438" spans="15:21" x14ac:dyDescent="0.25">
      <c r="O438" s="84">
        <f t="shared" si="12"/>
        <v>-19</v>
      </c>
      <c r="P438" s="46">
        <v>109</v>
      </c>
      <c r="Q438" s="49">
        <v>219.71581526430813</v>
      </c>
      <c r="R438" s="18">
        <v>99.219749728385963</v>
      </c>
      <c r="S438" s="47">
        <v>38.064435007305981</v>
      </c>
      <c r="T438" s="18">
        <v>80.5</v>
      </c>
      <c r="U438" s="51">
        <v>46.450718032841174</v>
      </c>
    </row>
    <row r="439" spans="15:21" x14ac:dyDescent="0.25">
      <c r="O439" s="84">
        <f t="shared" si="12"/>
        <v>-19.25</v>
      </c>
      <c r="P439" s="46">
        <v>109.25</v>
      </c>
      <c r="Q439" s="49">
        <v>219.5172389909182</v>
      </c>
      <c r="R439" s="18">
        <v>99.383708722183371</v>
      </c>
      <c r="S439" s="47">
        <v>38.099052286898527</v>
      </c>
      <c r="T439" s="18">
        <v>80.375</v>
      </c>
      <c r="U439" s="51">
        <v>46.527477075377369</v>
      </c>
    </row>
    <row r="440" spans="15:21" x14ac:dyDescent="0.25">
      <c r="O440" s="84">
        <f t="shared" si="12"/>
        <v>-19.5</v>
      </c>
      <c r="P440" s="46">
        <v>109.5</v>
      </c>
      <c r="Q440" s="49">
        <v>219.32118043546811</v>
      </c>
      <c r="R440" s="18">
        <v>99.545540353365695</v>
      </c>
      <c r="S440" s="47">
        <v>38.133279211166297</v>
      </c>
      <c r="T440" s="18">
        <v>80.25</v>
      </c>
      <c r="U440" s="51">
        <v>46.603240171831686</v>
      </c>
    </row>
    <row r="441" spans="15:21" x14ac:dyDescent="0.25">
      <c r="O441" s="84">
        <f t="shared" si="12"/>
        <v>-19.75</v>
      </c>
      <c r="P441" s="46">
        <v>109.75</v>
      </c>
      <c r="Q441" s="49">
        <v>219.12760723592723</v>
      </c>
      <c r="R441" s="18">
        <v>99.705273708490395</v>
      </c>
      <c r="S441" s="47">
        <v>38.167119055582461</v>
      </c>
      <c r="T441" s="18">
        <v>80.125</v>
      </c>
      <c r="U441" s="51">
        <v>46.67802093936686</v>
      </c>
    </row>
    <row r="442" spans="15:21" x14ac:dyDescent="0.25">
      <c r="O442" s="84">
        <f t="shared" si="12"/>
        <v>-20</v>
      </c>
      <c r="P442" s="46">
        <v>110</v>
      </c>
      <c r="Q442" s="49">
        <v>218.93648747606082</v>
      </c>
      <c r="R442" s="18">
        <v>99.862937426527594</v>
      </c>
      <c r="S442" s="47">
        <v>38.200575097411672</v>
      </c>
      <c r="T442" s="18">
        <v>80</v>
      </c>
      <c r="U442" s="51">
        <v>46.751832785603156</v>
      </c>
    </row>
    <row r="443" spans="15:21" x14ac:dyDescent="0.25">
      <c r="O443" s="84">
        <f t="shared" si="12"/>
        <v>-20.25</v>
      </c>
      <c r="P443" s="46">
        <v>110.25</v>
      </c>
      <c r="Q443" s="49">
        <v>218.74778967840845</v>
      </c>
      <c r="R443" s="18">
        <v>100.01855970695593</v>
      </c>
      <c r="S443" s="47">
        <v>38.233650614635707</v>
      </c>
      <c r="T443" s="18">
        <v>79.875</v>
      </c>
      <c r="U443" s="51">
        <v>46.82468891240849</v>
      </c>
    </row>
    <row r="444" spans="15:21" x14ac:dyDescent="0.25">
      <c r="O444" s="84">
        <f t="shared" si="12"/>
        <v>-20.5</v>
      </c>
      <c r="P444" s="46">
        <v>110.5</v>
      </c>
      <c r="Q444" s="49">
        <v>218.56148279739304</v>
      </c>
      <c r="R444" s="18">
        <v>100.17216831768826</v>
      </c>
      <c r="S444" s="47">
        <v>38.266348884918777</v>
      </c>
      <c r="T444" s="18">
        <v>79.75</v>
      </c>
      <c r="U444" s="51">
        <v>46.896602319608931</v>
      </c>
    </row>
    <row r="445" spans="15:21" x14ac:dyDescent="0.25">
      <c r="O445" s="84">
        <f t="shared" si="12"/>
        <v>-20.75</v>
      </c>
      <c r="P445" s="46">
        <v>110.75</v>
      </c>
      <c r="Q445" s="49">
        <v>218.37753621255757</v>
      </c>
      <c r="R445" s="18">
        <v>100.3237906028312</v>
      </c>
      <c r="S445" s="47">
        <v>38.29867318461131</v>
      </c>
      <c r="T445" s="18">
        <v>79.625</v>
      </c>
      <c r="U445" s="51">
        <v>46.96758580862145</v>
      </c>
    </row>
    <row r="446" spans="15:21" x14ac:dyDescent="0.25">
      <c r="O446" s="84">
        <f t="shared" si="12"/>
        <v>-21</v>
      </c>
      <c r="P446" s="46">
        <v>111</v>
      </c>
      <c r="Q446" s="49">
        <v>218.19591972192683</v>
      </c>
      <c r="R446" s="18">
        <v>100.47345349028227</v>
      </c>
      <c r="S446" s="47">
        <v>38.330626787790983</v>
      </c>
      <c r="T446" s="18">
        <v>79.5</v>
      </c>
      <c r="U446" s="51">
        <v>47.037651986010545</v>
      </c>
    </row>
    <row r="447" spans="15:21" x14ac:dyDescent="0.25">
      <c r="O447" s="84">
        <f t="shared" si="12"/>
        <v>-21.25</v>
      </c>
      <c r="P447" s="46">
        <v>111.25</v>
      </c>
      <c r="Q447" s="49">
        <v>218.01660353549144</v>
      </c>
      <c r="R447" s="18">
        <v>100.62118349916865</v>
      </c>
      <c r="S447" s="47">
        <v>38.362212965339978</v>
      </c>
      <c r="T447" s="18">
        <v>79.375</v>
      </c>
      <c r="U447" s="51">
        <v>47.106813266970796</v>
      </c>
    </row>
    <row r="448" spans="15:21" x14ac:dyDescent="0.25">
      <c r="O448" s="84">
        <f t="shared" si="12"/>
        <v>-21.5</v>
      </c>
      <c r="P448" s="46">
        <v>111.5</v>
      </c>
      <c r="Q448" s="49">
        <v>217.83955826881171</v>
      </c>
      <c r="R448" s="18">
        <v>100.76700674713105</v>
      </c>
      <c r="S448" s="47">
        <v>38.393434984057308</v>
      </c>
      <c r="T448" s="18">
        <v>79.25</v>
      </c>
      <c r="U448" s="51">
        <v>47.175081878736876</v>
      </c>
    </row>
    <row r="449" spans="15:21" x14ac:dyDescent="0.25">
      <c r="O449" s="84">
        <f t="shared" si="12"/>
        <v>-21.75</v>
      </c>
      <c r="P449" s="46">
        <v>111.75</v>
      </c>
      <c r="Q449" s="49">
        <v>217.66475493673846</v>
      </c>
      <c r="R449" s="18">
        <v>100.91094895745641</v>
      </c>
      <c r="S449" s="47">
        <v>38.424296105805183</v>
      </c>
      <c r="T449" s="18">
        <v>79.125</v>
      </c>
      <c r="U449" s="51">
        <v>47.242469863922793</v>
      </c>
    </row>
    <row r="450" spans="15:21" x14ac:dyDescent="0.25">
      <c r="O450" s="84">
        <f t="shared" si="12"/>
        <v>-22</v>
      </c>
      <c r="P450" s="46">
        <v>112</v>
      </c>
      <c r="Q450" s="49">
        <v>217.49216494724871</v>
      </c>
      <c r="R450" s="18">
        <v>101.05303546606295</v>
      </c>
      <c r="S450" s="47">
        <v>38.454799586688416</v>
      </c>
      <c r="T450" s="18">
        <v>79</v>
      </c>
      <c r="U450" s="51">
        <v>47.308989083792028</v>
      </c>
    </row>
    <row r="451" spans="15:21" x14ac:dyDescent="0.25">
      <c r="O451" s="84">
        <f t="shared" ref="O451:O514" si="13">90-P451</f>
        <v>-22.25</v>
      </c>
      <c r="P451" s="46">
        <v>112.25</v>
      </c>
      <c r="Q451" s="49">
        <v>217.32176009539344</v>
      </c>
      <c r="R451" s="18">
        <v>101.1932912283408</v>
      </c>
      <c r="S451" s="47">
        <v>38.484948676265816</v>
      </c>
      <c r="T451" s="18">
        <v>78.875</v>
      </c>
      <c r="U451" s="51">
        <v>47.374651221460027</v>
      </c>
    </row>
    <row r="452" spans="15:21" x14ac:dyDescent="0.25">
      <c r="O452" s="84">
        <f t="shared" si="13"/>
        <v>-22.5</v>
      </c>
      <c r="P452" s="46">
        <v>112.5</v>
      </c>
      <c r="Q452" s="49">
        <v>217.15351255735544</v>
      </c>
      <c r="R452" s="18">
        <v>101.33174082585195</v>
      </c>
      <c r="S452" s="47">
        <v>38.514746616792664</v>
      </c>
      <c r="T452" s="18">
        <v>78.75</v>
      </c>
      <c r="U452" s="51">
        <v>47.43946778503085</v>
      </c>
    </row>
    <row r="453" spans="15:21" x14ac:dyDescent="0.25">
      <c r="O453" s="84">
        <f t="shared" si="13"/>
        <v>-22.75</v>
      </c>
      <c r="P453" s="46">
        <v>112.75</v>
      </c>
      <c r="Q453" s="49">
        <v>216.98739488461447</v>
      </c>
      <c r="R453" s="18">
        <v>101.46840847289229</v>
      </c>
      <c r="S453" s="47">
        <v>38.544196642493283</v>
      </c>
      <c r="T453" s="18">
        <v>78.625</v>
      </c>
      <c r="U453" s="51">
        <v>47.503450110669256</v>
      </c>
    </row>
    <row r="454" spans="15:21" x14ac:dyDescent="0.25">
      <c r="O454" s="84">
        <f t="shared" si="13"/>
        <v>-23</v>
      </c>
      <c r="P454" s="46">
        <v>113</v>
      </c>
      <c r="Q454" s="49">
        <v>216.82337999821794</v>
      </c>
      <c r="R454" s="18">
        <v>101.60331802291928</v>
      </c>
      <c r="S454" s="47">
        <v>38.573301978862837</v>
      </c>
      <c r="T454" s="18">
        <v>78.5</v>
      </c>
      <c r="U454" s="51">
        <v>47.566609365609892</v>
      </c>
    </row>
    <row r="455" spans="15:21" x14ac:dyDescent="0.25">
      <c r="O455" s="84">
        <f t="shared" si="13"/>
        <v>-23.25</v>
      </c>
      <c r="P455" s="46">
        <v>113.25</v>
      </c>
      <c r="Q455" s="49">
        <v>216.66144118315447</v>
      </c>
      <c r="R455" s="18">
        <v>101.73649297484816</v>
      </c>
      <c r="S455" s="47">
        <v>38.602065841997444</v>
      </c>
      <c r="T455" s="18">
        <v>78.375</v>
      </c>
      <c r="U455" s="51">
        <v>47.628956551104913</v>
      </c>
    </row>
    <row r="456" spans="15:21" x14ac:dyDescent="0.25">
      <c r="O456" s="84">
        <f t="shared" si="13"/>
        <v>-23.5</v>
      </c>
      <c r="P456" s="46">
        <v>113.5</v>
      </c>
      <c r="Q456" s="49">
        <v>216.50155208282857</v>
      </c>
      <c r="R456" s="18">
        <v>101.86795647921977</v>
      </c>
      <c r="S456" s="47">
        <v>38.630491437951726</v>
      </c>
      <c r="T456" s="18">
        <v>78.25</v>
      </c>
      <c r="U456" s="51">
        <v>47.690502505311528</v>
      </c>
    </row>
    <row r="457" spans="15:21" x14ac:dyDescent="0.25">
      <c r="O457" s="84">
        <f t="shared" si="13"/>
        <v>-23.75</v>
      </c>
      <c r="P457" s="46">
        <v>113.75</v>
      </c>
      <c r="Q457" s="49">
        <v>216.34368669363406</v>
      </c>
      <c r="R457" s="18">
        <v>101.99773134424298</v>
      </c>
      <c r="S457" s="47">
        <v>38.658581962123037</v>
      </c>
      <c r="T457" s="18">
        <v>78.125</v>
      </c>
      <c r="U457" s="51">
        <v>47.751257906120792</v>
      </c>
    </row>
    <row r="458" spans="15:21" x14ac:dyDescent="0.25">
      <c r="O458" s="84">
        <f t="shared" si="13"/>
        <v>-24</v>
      </c>
      <c r="P458" s="46">
        <v>114</v>
      </c>
      <c r="Q458" s="49">
        <v>216.18781935962423</v>
      </c>
      <c r="R458" s="18">
        <v>102.12584004171438</v>
      </c>
      <c r="S458" s="47">
        <v>38.686340598661474</v>
      </c>
      <c r="T458" s="18">
        <v>78</v>
      </c>
      <c r="U458" s="51">
        <v>47.811233273929005</v>
      </c>
    </row>
    <row r="459" spans="15:21" x14ac:dyDescent="0.25">
      <c r="O459" s="84">
        <f t="shared" si="13"/>
        <v>-24.25</v>
      </c>
      <c r="P459" s="46">
        <v>114.25</v>
      </c>
      <c r="Q459" s="49">
        <v>216.03392476727683</v>
      </c>
      <c r="R459" s="18">
        <v>102.25230471281836</v>
      </c>
      <c r="S459" s="47">
        <v>38.713770519904905</v>
      </c>
      <c r="T459" s="18">
        <v>77.875</v>
      </c>
      <c r="U459" s="51">
        <v>47.870438974353043</v>
      </c>
    </row>
    <row r="460" spans="15:21" x14ac:dyDescent="0.25">
      <c r="O460" s="84">
        <f t="shared" si="13"/>
        <v>-24.5</v>
      </c>
      <c r="P460" s="46">
        <v>114.5</v>
      </c>
      <c r="Q460" s="49">
        <v>215.88197794035179</v>
      </c>
      <c r="R460" s="18">
        <v>102.37714717380997</v>
      </c>
      <c r="S460" s="47">
        <v>38.740874885838323</v>
      </c>
      <c r="T460" s="18">
        <v>77.75</v>
      </c>
      <c r="U460" s="51">
        <v>47.928885220890876</v>
      </c>
    </row>
    <row r="461" spans="15:21" x14ac:dyDescent="0.25">
      <c r="O461" s="84">
        <f t="shared" si="13"/>
        <v>-24.75</v>
      </c>
      <c r="P461" s="46">
        <v>114.75</v>
      </c>
      <c r="Q461" s="49">
        <v>215.73195423483992</v>
      </c>
      <c r="R461" s="18">
        <v>102.50038892158349</v>
      </c>
      <c r="S461" s="47">
        <v>38.767656843576653</v>
      </c>
      <c r="T461" s="18">
        <v>77.625</v>
      </c>
      <c r="U461" s="51">
        <v>47.986582077528524</v>
      </c>
    </row>
    <row r="462" spans="15:21" x14ac:dyDescent="0.25">
      <c r="O462" s="84">
        <f t="shared" si="13"/>
        <v>-25</v>
      </c>
      <c r="P462" s="46">
        <v>115</v>
      </c>
      <c r="Q462" s="49">
        <v>215.58382933400051</v>
      </c>
      <c r="R462" s="18">
        <v>102.62205113912913</v>
      </c>
      <c r="S462" s="47">
        <v>38.794119526870418</v>
      </c>
      <c r="T462" s="18">
        <v>77.5</v>
      </c>
      <c r="U462" s="51">
        <v>48.043539461294692</v>
      </c>
    </row>
    <row r="463" spans="15:21" x14ac:dyDescent="0.25">
      <c r="O463" s="84">
        <f t="shared" si="13"/>
        <v>-25.25</v>
      </c>
      <c r="P463" s="46">
        <v>115.25</v>
      </c>
      <c r="Q463" s="49">
        <v>215.43757924348614</v>
      </c>
      <c r="R463" s="18">
        <v>102.74215470088043</v>
      </c>
      <c r="S463" s="47">
        <v>38.820266055633468</v>
      </c>
      <c r="T463" s="18">
        <v>77.375</v>
      </c>
      <c r="U463" s="51">
        <v>48.099767144764179</v>
      </c>
    </row>
    <row r="464" spans="15:21" x14ac:dyDescent="0.25">
      <c r="O464" s="84">
        <f t="shared" si="13"/>
        <v>-25.5</v>
      </c>
      <c r="P464" s="46">
        <v>115.5</v>
      </c>
      <c r="Q464" s="49">
        <v>215.29318028655297</v>
      </c>
      <c r="R464" s="18">
        <v>102.86072017795492</v>
      </c>
      <c r="S464" s="47">
        <v>38.846099535492151</v>
      </c>
      <c r="T464" s="18">
        <v>77.25</v>
      </c>
      <c r="U464" s="51">
        <v>48.155274758511375</v>
      </c>
    </row>
    <row r="465" spans="15:21" x14ac:dyDescent="0.25">
      <c r="O465" s="84">
        <f t="shared" si="13"/>
        <v>-25.75</v>
      </c>
      <c r="P465" s="46">
        <v>115.75</v>
      </c>
      <c r="Q465" s="49">
        <v>215.15060909935454</v>
      </c>
      <c r="R465" s="18">
        <v>102.97776784329025</v>
      </c>
      <c r="S465" s="47">
        <v>38.871623057355251</v>
      </c>
      <c r="T465" s="18">
        <v>77.125</v>
      </c>
      <c r="U465" s="51">
        <v>48.210071793514764</v>
      </c>
    </row>
    <row r="466" spans="15:21" x14ac:dyDescent="0.25">
      <c r="O466" s="84">
        <f t="shared" si="13"/>
        <v>-26</v>
      </c>
      <c r="P466" s="46">
        <v>116</v>
      </c>
      <c r="Q466" s="49">
        <v>215.00984262631763</v>
      </c>
      <c r="R466" s="18">
        <v>103.0933176766784</v>
      </c>
      <c r="S466" s="47">
        <v>38.896839697004019</v>
      </c>
      <c r="T466" s="18">
        <v>77</v>
      </c>
      <c r="U466" s="51">
        <v>48.264167603513762</v>
      </c>
    </row>
    <row r="467" spans="15:21" x14ac:dyDescent="0.25">
      <c r="O467" s="84">
        <f t="shared" si="13"/>
        <v>-26.25</v>
      </c>
      <c r="P467" s="46">
        <v>116.25</v>
      </c>
      <c r="Q467" s="49">
        <v>214.87085811559837</v>
      </c>
      <c r="R467" s="18">
        <v>103.20738936969997</v>
      </c>
      <c r="S467" s="47">
        <v>38.921752514701723</v>
      </c>
      <c r="T467" s="18">
        <v>76.875</v>
      </c>
      <c r="U467" s="51">
        <v>48.317571407318738</v>
      </c>
    </row>
    <row r="468" spans="15:21" x14ac:dyDescent="0.25">
      <c r="O468" s="84">
        <f t="shared" si="13"/>
        <v>-26.5</v>
      </c>
      <c r="P468" s="46">
        <v>116.5</v>
      </c>
      <c r="Q468" s="49">
        <v>214.73363311461685</v>
      </c>
      <c r="R468" s="18">
        <v>103.32000233056111</v>
      </c>
      <c r="S468" s="47">
        <v>38.94636455482209</v>
      </c>
      <c r="T468" s="18">
        <v>76.75</v>
      </c>
      <c r="U468" s="51">
        <v>48.370292291075486</v>
      </c>
    </row>
    <row r="469" spans="15:21" x14ac:dyDescent="0.25">
      <c r="O469" s="84">
        <f t="shared" si="13"/>
        <v>-26.75</v>
      </c>
      <c r="P469" s="46">
        <v>116.75</v>
      </c>
      <c r="Q469" s="49">
        <v>214.59814546566912</v>
      </c>
      <c r="R469" s="18">
        <v>103.43117568883491</v>
      </c>
      <c r="S469" s="47">
        <v>38.970678845496025</v>
      </c>
      <c r="T469" s="18">
        <v>76.625</v>
      </c>
      <c r="U469" s="51">
        <v>48.422339210484949</v>
      </c>
    </row>
    <row r="470" spans="15:21" x14ac:dyDescent="0.25">
      <c r="O470" s="84">
        <f t="shared" si="13"/>
        <v>-27</v>
      </c>
      <c r="P470" s="46">
        <v>117</v>
      </c>
      <c r="Q470" s="49">
        <v>214.4643733016143</v>
      </c>
      <c r="R470" s="18">
        <v>103.54092830010966</v>
      </c>
      <c r="S470" s="47">
        <v>38.994698398276086</v>
      </c>
      <c r="T470" s="18">
        <v>76.5</v>
      </c>
      <c r="U470" s="51">
        <v>48.473720992979338</v>
      </c>
    </row>
    <row r="471" spans="15:21" x14ac:dyDescent="0.25">
      <c r="O471" s="84">
        <f t="shared" si="13"/>
        <v>-27.25</v>
      </c>
      <c r="P471" s="46">
        <v>117.25</v>
      </c>
      <c r="Q471" s="49">
        <v>214.33229504163597</v>
      </c>
      <c r="R471" s="18">
        <v>103.64927875054595</v>
      </c>
      <c r="S471" s="47">
        <v>39.018426207818109</v>
      </c>
      <c r="T471" s="18">
        <v>76.375</v>
      </c>
      <c r="U471" s="51">
        <v>48.524446339855594</v>
      </c>
    </row>
    <row r="472" spans="15:21" x14ac:dyDescent="0.25">
      <c r="O472" s="84">
        <f t="shared" si="13"/>
        <v>-27.5</v>
      </c>
      <c r="P472" s="46">
        <v>117.5</v>
      </c>
      <c r="Q472" s="49">
        <v>214.20188938707588</v>
      </c>
      <c r="R472" s="18">
        <v>103.75624536134464</v>
      </c>
      <c r="S472" s="47">
        <v>39.041865251579502</v>
      </c>
      <c r="T472" s="18">
        <v>76.25</v>
      </c>
      <c r="U472" s="51">
        <v>48.574523828367113</v>
      </c>
    </row>
    <row r="473" spans="15:21" x14ac:dyDescent="0.25">
      <c r="O473" s="84">
        <f t="shared" si="13"/>
        <v>-27.75</v>
      </c>
      <c r="P473" s="46">
        <v>117.75</v>
      </c>
      <c r="Q473" s="49">
        <v>214.0731353173388</v>
      </c>
      <c r="R473" s="18">
        <v>103.86184619312762</v>
      </c>
      <c r="S473" s="47">
        <v>39.065018489533607</v>
      </c>
      <c r="T473" s="18">
        <v>76.125</v>
      </c>
      <c r="U473" s="51">
        <v>48.623961913774629</v>
      </c>
    </row>
    <row r="474" spans="15:21" x14ac:dyDescent="0.25">
      <c r="O474" s="84">
        <f t="shared" si="13"/>
        <v>-28</v>
      </c>
      <c r="P474" s="46">
        <v>118</v>
      </c>
      <c r="Q474" s="49">
        <v>213.9460120858669</v>
      </c>
      <c r="R474" s="18">
        <v>103.96609905023341</v>
      </c>
      <c r="S474" s="47">
        <v>39.087888863899714</v>
      </c>
      <c r="T474" s="18">
        <v>76</v>
      </c>
      <c r="U474" s="51">
        <v>48.672768931357268</v>
      </c>
    </row>
    <row r="475" spans="15:21" x14ac:dyDescent="0.25">
      <c r="O475" s="84">
        <f t="shared" si="13"/>
        <v>-28.25</v>
      </c>
      <c r="P475" s="46">
        <v>118.25</v>
      </c>
      <c r="Q475" s="49">
        <v>213.8204992161825</v>
      </c>
      <c r="R475" s="18">
        <v>104.06902148492937</v>
      </c>
      <c r="S475" s="47">
        <v>39.110479298888144</v>
      </c>
      <c r="T475" s="18">
        <v>75.875</v>
      </c>
      <c r="U475" s="51">
        <v>48.720953098384527</v>
      </c>
    </row>
    <row r="476" spans="15:21" x14ac:dyDescent="0.25">
      <c r="O476" s="84">
        <f t="shared" si="13"/>
        <v>-28.5</v>
      </c>
      <c r="P476" s="46">
        <v>118.5</v>
      </c>
      <c r="Q476" s="49">
        <v>213.69657649799763</v>
      </c>
      <c r="R476" s="18">
        <v>104.17063080154243</v>
      </c>
      <c r="S476" s="47">
        <v>39.132792700459966</v>
      </c>
      <c r="T476" s="18">
        <v>75.75</v>
      </c>
      <c r="U476" s="51">
        <v>48.768522516050098</v>
      </c>
    </row>
    <row r="477" spans="15:21" x14ac:dyDescent="0.25">
      <c r="O477" s="84">
        <f t="shared" si="13"/>
        <v>-28.75</v>
      </c>
      <c r="P477" s="46">
        <v>118.75</v>
      </c>
      <c r="Q477" s="49">
        <v>213.57422398338903</v>
      </c>
      <c r="R477" s="18">
        <v>104.2709440605101</v>
      </c>
      <c r="S477" s="47">
        <v>39.1548319561009</v>
      </c>
      <c r="T477" s="18">
        <v>75.625</v>
      </c>
      <c r="U477" s="51">
        <v>48.815485171368408</v>
      </c>
    </row>
    <row r="478" spans="15:21" x14ac:dyDescent="0.25">
      <c r="O478" s="84">
        <f t="shared" si="13"/>
        <v>-29</v>
      </c>
      <c r="P478" s="46">
        <v>119</v>
      </c>
      <c r="Q478" s="49">
        <v>213.45342198303766</v>
      </c>
      <c r="R478" s="18">
        <v>104.36997808235347</v>
      </c>
      <c r="S478" s="47">
        <v>39.176599934608909</v>
      </c>
      <c r="T478" s="18">
        <v>75.5</v>
      </c>
      <c r="U478" s="51">
        <v>48.861848939034601</v>
      </c>
    </row>
    <row r="479" spans="15:21" x14ac:dyDescent="0.25">
      <c r="O479" s="84">
        <f t="shared" si="13"/>
        <v>-29.25</v>
      </c>
      <c r="P479" s="46">
        <v>119.25</v>
      </c>
      <c r="Q479" s="49">
        <v>213.33415106253096</v>
      </c>
      <c r="R479" s="18">
        <v>104.46774945157402</v>
      </c>
      <c r="S479" s="47">
        <v>39.198099485895057</v>
      </c>
      <c r="T479" s="18">
        <v>75.375</v>
      </c>
      <c r="U479" s="51">
        <v>48.907621583248897</v>
      </c>
    </row>
    <row r="480" spans="15:21" x14ac:dyDescent="0.25">
      <c r="O480" s="84">
        <f t="shared" si="13"/>
        <v>-29.5</v>
      </c>
      <c r="P480" s="46">
        <v>119.5</v>
      </c>
      <c r="Q480" s="49">
        <v>213.21639203872709</v>
      </c>
      <c r="R480" s="18">
        <v>104.56427452047575</v>
      </c>
      <c r="S480" s="47">
        <v>39.219333440797215</v>
      </c>
      <c r="T480" s="18">
        <v>75.25</v>
      </c>
      <c r="U480" s="51">
        <v>48.95281075950593</v>
      </c>
    </row>
    <row r="481" spans="15:21" x14ac:dyDescent="0.25">
      <c r="O481" s="84">
        <f t="shared" si="13"/>
        <v>-29.75</v>
      </c>
      <c r="P481" s="46">
        <v>119.75</v>
      </c>
      <c r="Q481" s="49">
        <v>213.10012597617944</v>
      </c>
      <c r="R481" s="18">
        <v>104.65956941291442</v>
      </c>
      <c r="S481" s="47">
        <v>39.240304610906186</v>
      </c>
      <c r="T481" s="18">
        <v>75.125</v>
      </c>
      <c r="U481" s="51">
        <v>48.997424016350017</v>
      </c>
    </row>
    <row r="482" spans="15:21" x14ac:dyDescent="0.25">
      <c r="O482" s="84">
        <f t="shared" si="13"/>
        <v>-30</v>
      </c>
      <c r="P482" s="46">
        <v>120</v>
      </c>
      <c r="Q482" s="49">
        <v>212.98533418362075</v>
      </c>
      <c r="R482" s="18">
        <v>104.75365002797541</v>
      </c>
      <c r="S482" s="47">
        <v>39.261015788403881</v>
      </c>
      <c r="T482" s="18">
        <v>75</v>
      </c>
      <c r="U482" s="51">
        <v>49.041468797096968</v>
      </c>
    </row>
    <row r="483" spans="15:21" x14ac:dyDescent="0.25">
      <c r="O483" s="84">
        <f t="shared" si="13"/>
        <v>-30.25</v>
      </c>
      <c r="P483" s="46">
        <v>120.25</v>
      </c>
      <c r="Q483" s="49">
        <v>212.87199821050532</v>
      </c>
      <c r="R483" s="18">
        <v>104.84653204358165</v>
      </c>
      <c r="S483" s="47">
        <v>39.281469745913071</v>
      </c>
      <c r="T483" s="18">
        <v>74.625</v>
      </c>
      <c r="U483" s="51">
        <v>49.084952441523185</v>
      </c>
    </row>
    <row r="484" spans="15:21" x14ac:dyDescent="0.25">
      <c r="O484" s="84">
        <f t="shared" si="13"/>
        <v>-30.5</v>
      </c>
      <c r="P484" s="46">
        <v>120.5</v>
      </c>
      <c r="Q484" s="49">
        <v>212.76280728249014</v>
      </c>
      <c r="R484" s="18">
        <v>104.93605841416368</v>
      </c>
      <c r="S484" s="47">
        <v>39.301134303346203</v>
      </c>
      <c r="T484" s="18">
        <v>74.25</v>
      </c>
      <c r="U484" s="51">
        <v>49.126865107174865</v>
      </c>
    </row>
    <row r="485" spans="15:21" x14ac:dyDescent="0.25">
      <c r="O485" s="84">
        <f t="shared" si="13"/>
        <v>-30.75</v>
      </c>
      <c r="P485" s="46">
        <v>120.75</v>
      </c>
      <c r="Q485" s="49">
        <v>212.65761612361547</v>
      </c>
      <c r="R485" s="18">
        <v>105.02234621142925</v>
      </c>
      <c r="S485" s="47">
        <v>39.320037664955322</v>
      </c>
      <c r="T485" s="18">
        <v>73.875</v>
      </c>
      <c r="U485" s="51">
        <v>49.167261602342712</v>
      </c>
    </row>
    <row r="486" spans="15:21" x14ac:dyDescent="0.25">
      <c r="O486" s="84">
        <f t="shared" si="13"/>
        <v>-31</v>
      </c>
      <c r="P486" s="46">
        <v>121</v>
      </c>
      <c r="Q486" s="49">
        <v>212.55628439990932</v>
      </c>
      <c r="R486" s="18">
        <v>105.1055084615972</v>
      </c>
      <c r="S486" s="47">
        <v>39.33820713849353</v>
      </c>
      <c r="T486" s="18">
        <v>73.5</v>
      </c>
      <c r="U486" s="51">
        <v>49.206194841381347</v>
      </c>
    </row>
    <row r="487" spans="15:21" x14ac:dyDescent="0.25">
      <c r="O487" s="84">
        <f t="shared" si="13"/>
        <v>-31.25</v>
      </c>
      <c r="P487" s="46">
        <v>121.25</v>
      </c>
      <c r="Q487" s="49">
        <v>212.45867655095623</v>
      </c>
      <c r="R487" s="18">
        <v>105.18565429144046</v>
      </c>
      <c r="S487" s="47">
        <v>39.355669157603359</v>
      </c>
      <c r="T487" s="18">
        <v>73.125</v>
      </c>
      <c r="U487" s="51">
        <v>49.243715913080763</v>
      </c>
    </row>
    <row r="488" spans="15:21" x14ac:dyDescent="0.25">
      <c r="O488" s="84">
        <f t="shared" si="13"/>
        <v>-31.5</v>
      </c>
      <c r="P488" s="46">
        <v>121.5</v>
      </c>
      <c r="Q488" s="49">
        <v>212.36466162757623</v>
      </c>
      <c r="R488" s="18">
        <v>105.2628890683788</v>
      </c>
      <c r="S488" s="47">
        <v>39.372449304045027</v>
      </c>
      <c r="T488" s="18">
        <v>72.75</v>
      </c>
      <c r="U488" s="51">
        <v>49.279874146252219</v>
      </c>
    </row>
    <row r="489" spans="15:21" x14ac:dyDescent="0.25">
      <c r="O489" s="84">
        <f t="shared" si="13"/>
        <v>-31.75</v>
      </c>
      <c r="P489" s="46">
        <v>121.75</v>
      </c>
      <c r="Q489" s="49">
        <v>212.27411313535984</v>
      </c>
      <c r="R489" s="18">
        <v>105.33731453490924</v>
      </c>
      <c r="S489" s="47">
        <v>39.388572329730955</v>
      </c>
      <c r="T489" s="18">
        <v>72.375</v>
      </c>
      <c r="U489" s="51">
        <v>49.314717172663109</v>
      </c>
    </row>
    <row r="490" spans="15:21" x14ac:dyDescent="0.25">
      <c r="O490" s="84">
        <f t="shared" si="13"/>
        <v>-32</v>
      </c>
      <c r="P490" s="46">
        <v>122</v>
      </c>
      <c r="Q490" s="49">
        <v>212.18690888381732</v>
      </c>
      <c r="R490" s="18">
        <v>105.40902893764623</v>
      </c>
      <c r="S490" s="47">
        <v>39.404062178536492</v>
      </c>
      <c r="T490" s="18">
        <v>72</v>
      </c>
      <c r="U490" s="51">
        <v>49.348290987448458</v>
      </c>
    </row>
    <row r="491" spans="15:21" x14ac:dyDescent="0.25">
      <c r="O491" s="84">
        <f t="shared" si="13"/>
        <v>-32.25</v>
      </c>
      <c r="P491" s="46">
        <v>122.25</v>
      </c>
      <c r="Q491" s="49">
        <v>212.10293084091205</v>
      </c>
      <c r="R491" s="18">
        <v>105.47812715122782</v>
      </c>
      <c r="S491" s="47">
        <v>39.41894200786016</v>
      </c>
      <c r="T491" s="18">
        <v>71.625</v>
      </c>
      <c r="U491" s="51">
        <v>49.380640007118821</v>
      </c>
    </row>
    <row r="492" spans="15:21" x14ac:dyDescent="0.25">
      <c r="O492" s="84">
        <f t="shared" si="13"/>
        <v>-32.5</v>
      </c>
      <c r="P492" s="46">
        <v>122.5</v>
      </c>
      <c r="Q492" s="49">
        <v>212.02206499275945</v>
      </c>
      <c r="R492" s="18">
        <v>105.54470079733071</v>
      </c>
      <c r="S492" s="47">
        <v>39.433234209909877</v>
      </c>
      <c r="T492" s="18">
        <v>71.25</v>
      </c>
      <c r="U492" s="51">
        <v>49.411807125278344</v>
      </c>
    </row>
    <row r="493" spans="15:21" x14ac:dyDescent="0.25">
      <c r="O493" s="84">
        <f t="shared" si="13"/>
        <v>-32.75</v>
      </c>
      <c r="P493" s="46">
        <v>122.75</v>
      </c>
      <c r="Q493" s="49">
        <v>211.94420120828323</v>
      </c>
      <c r="R493" s="18">
        <v>105.60883835902253</v>
      </c>
      <c r="S493" s="47">
        <v>39.44696043269429</v>
      </c>
      <c r="T493" s="18">
        <v>70.875</v>
      </c>
      <c r="U493" s="51">
        <v>49.441833766159981</v>
      </c>
    </row>
    <row r="494" spans="15:21" x14ac:dyDescent="0.25">
      <c r="O494" s="84">
        <f t="shared" si="13"/>
        <v>-33</v>
      </c>
      <c r="P494" s="46">
        <v>123</v>
      </c>
      <c r="Q494" s="49">
        <v>211.86923310863057</v>
      </c>
      <c r="R494" s="18">
        <v>105.67062529066837</v>
      </c>
      <c r="S494" s="47">
        <v>39.460141600701114</v>
      </c>
      <c r="T494" s="18">
        <v>70.5</v>
      </c>
      <c r="U494" s="51">
        <v>49.470759936079304</v>
      </c>
    </row>
    <row r="495" spans="15:21" x14ac:dyDescent="0.25">
      <c r="O495" s="84">
        <f t="shared" si="13"/>
        <v>-33.25</v>
      </c>
      <c r="P495" s="46">
        <v>123.25</v>
      </c>
      <c r="Q495" s="49">
        <v>211.79705794115768</v>
      </c>
      <c r="R495" s="18">
        <v>105.73014412359571</v>
      </c>
      <c r="S495" s="47">
        <v>39.472797935246675</v>
      </c>
      <c r="T495" s="18">
        <v>70.125</v>
      </c>
      <c r="U495" s="51">
        <v>49.498624272902561</v>
      </c>
    </row>
    <row r="496" spans="15:21" x14ac:dyDescent="0.25">
      <c r="O496" s="84">
        <f t="shared" si="13"/>
        <v>-33.5</v>
      </c>
      <c r="P496" s="46">
        <v>123.5</v>
      </c>
      <c r="Q496" s="49">
        <v>211.7275764578055</v>
      </c>
      <c r="R496" s="18">
        <v>105.78747456771148</v>
      </c>
      <c r="S496" s="47">
        <v>39.484948974483075</v>
      </c>
      <c r="T496" s="18">
        <v>69.75</v>
      </c>
      <c r="U496" s="51">
        <v>49.52546409361981</v>
      </c>
    </row>
    <row r="497" spans="15:21" x14ac:dyDescent="0.25">
      <c r="O497" s="84">
        <f t="shared" si="13"/>
        <v>-33.75</v>
      </c>
      <c r="P497" s="46">
        <v>123.75</v>
      </c>
      <c r="Q497" s="49">
        <v>211.66069279769442</v>
      </c>
      <c r="R497" s="18">
        <v>105.84269360925425</v>
      </c>
      <c r="S497" s="47">
        <v>39.496613593051393</v>
      </c>
      <c r="T497" s="18">
        <v>69.375</v>
      </c>
      <c r="U497" s="51">
        <v>49.551315440108475</v>
      </c>
    </row>
    <row r="498" spans="15:21" x14ac:dyDescent="0.25">
      <c r="O498" s="84">
        <f t="shared" si="13"/>
        <v>-34</v>
      </c>
      <c r="P498" s="46">
        <v>124</v>
      </c>
      <c r="Q498" s="49">
        <v>211.59631437377408</v>
      </c>
      <c r="R498" s="18">
        <v>105.89587560485471</v>
      </c>
      <c r="S498" s="47">
        <v>39.507810021371284</v>
      </c>
      <c r="T498" s="18">
        <v>69</v>
      </c>
      <c r="U498" s="51">
        <v>49.576213123168777</v>
      </c>
    </row>
    <row r="499" spans="15:21" x14ac:dyDescent="0.25">
      <c r="O499" s="84">
        <f t="shared" si="13"/>
        <v>-34.25</v>
      </c>
      <c r="P499" s="46">
        <v>124.25</v>
      </c>
      <c r="Q499" s="49">
        <v>211.53435176337257</v>
      </c>
      <c r="R499" s="18">
        <v>105.94709237206865</v>
      </c>
      <c r="S499" s="47">
        <v>39.518555864558863</v>
      </c>
      <c r="T499" s="18">
        <v>68.625</v>
      </c>
      <c r="U499" s="51">
        <v>49.600190764907659</v>
      </c>
    </row>
    <row r="500" spans="15:21" x14ac:dyDescent="0.25">
      <c r="O500" s="84">
        <f t="shared" si="13"/>
        <v>-34.5</v>
      </c>
      <c r="P500" s="46">
        <v>124.5</v>
      </c>
      <c r="Q500" s="49">
        <v>211.47471860249587</v>
      </c>
      <c r="R500" s="18">
        <v>105.99641327653775</v>
      </c>
      <c r="S500" s="47">
        <v>39.528868120966472</v>
      </c>
      <c r="T500" s="18">
        <v>68.25</v>
      </c>
      <c r="U500" s="51">
        <v>49.623280839543916</v>
      </c>
    </row>
    <row r="501" spans="15:21" x14ac:dyDescent="0.25">
      <c r="O501" s="84">
        <f t="shared" si="13"/>
        <v>-34.75</v>
      </c>
      <c r="P501" s="46">
        <v>124.75</v>
      </c>
      <c r="Q501" s="49">
        <v>211.41733148373561</v>
      </c>
      <c r="R501" s="18">
        <v>106.0439053159252</v>
      </c>
      <c r="S501" s="47">
        <v>39.538763200339261</v>
      </c>
      <c r="T501" s="18">
        <v>67.875</v>
      </c>
      <c r="U501" s="51">
        <v>49.645514712703537</v>
      </c>
    </row>
    <row r="502" spans="15:21" x14ac:dyDescent="0.25">
      <c r="O502" s="84">
        <f t="shared" si="13"/>
        <v>-35</v>
      </c>
      <c r="P502" s="46">
        <v>125</v>
      </c>
      <c r="Q502" s="49">
        <v>211.3621098576491</v>
      </c>
      <c r="R502" s="18">
        <v>106.08963320076613</v>
      </c>
      <c r="S502" s="47">
        <v>39.548256941584846</v>
      </c>
      <c r="T502" s="18">
        <v>67.5</v>
      </c>
      <c r="U502" s="51">
        <v>49.66692267927067</v>
      </c>
    </row>
    <row r="503" spans="15:21" x14ac:dyDescent="0.25">
      <c r="O503" s="84">
        <f t="shared" si="13"/>
        <v>-35.25</v>
      </c>
      <c r="P503" s="46">
        <v>125.25</v>
      </c>
      <c r="Q503" s="49">
        <v>211.3089759374821</v>
      </c>
      <c r="R503" s="18">
        <v>106.13365943236457</v>
      </c>
      <c r="S503" s="47">
        <v>39.557364630153408</v>
      </c>
      <c r="T503" s="18">
        <v>67.125</v>
      </c>
      <c r="U503" s="51">
        <v>49.687533999855795</v>
      </c>
    </row>
    <row r="504" spans="15:21" x14ac:dyDescent="0.25">
      <c r="O504" s="84">
        <f t="shared" si="13"/>
        <v>-35.5</v>
      </c>
      <c r="P504" s="46">
        <v>125.5</v>
      </c>
      <c r="Q504" s="49">
        <v>211.2578546071102</v>
      </c>
      <c r="R504" s="18">
        <v>106.17604437786302</v>
      </c>
      <c r="S504" s="47">
        <v>39.566101015026852</v>
      </c>
      <c r="T504" s="18">
        <v>66.75</v>
      </c>
      <c r="U504" s="51">
        <v>49.707376935940353</v>
      </c>
    </row>
    <row r="505" spans="15:21" x14ac:dyDescent="0.25">
      <c r="O505" s="84">
        <f t="shared" si="13"/>
        <v>-35.75</v>
      </c>
      <c r="P505" s="46">
        <v>125.75</v>
      </c>
      <c r="Q505" s="49">
        <v>211.20867333208025</v>
      </c>
      <c r="R505" s="18">
        <v>106.21684634260346</v>
      </c>
      <c r="S505" s="47">
        <v>39.574480325316365</v>
      </c>
      <c r="T505" s="18">
        <v>66.375</v>
      </c>
      <c r="U505" s="51">
        <v>49.726478783753237</v>
      </c>
    </row>
    <row r="506" spans="15:21" x14ac:dyDescent="0.25">
      <c r="O506" s="84">
        <f t="shared" si="13"/>
        <v>-36</v>
      </c>
      <c r="P506" s="46">
        <v>126</v>
      </c>
      <c r="Q506" s="49">
        <v>211.16136207363843</v>
      </c>
      <c r="R506" s="18">
        <v>106.2561216398928</v>
      </c>
      <c r="S506" s="47">
        <v>39.582516286468859</v>
      </c>
      <c r="T506" s="18">
        <v>66</v>
      </c>
      <c r="U506" s="51">
        <v>49.744865906932205</v>
      </c>
    </row>
    <row r="507" spans="15:21" x14ac:dyDescent="0.25">
      <c r="O507" s="84">
        <f t="shared" si="13"/>
        <v>-36.25</v>
      </c>
      <c r="P507" s="46">
        <v>126.25</v>
      </c>
      <c r="Q507" s="49">
        <v>211.11585320563628</v>
      </c>
      <c r="R507" s="18">
        <v>106.29392465828045</v>
      </c>
      <c r="S507" s="47">
        <v>39.590222136083369</v>
      </c>
      <c r="T507" s="18">
        <v>65.625</v>
      </c>
      <c r="U507" s="51">
        <v>49.762563768020577</v>
      </c>
    </row>
    <row r="508" spans="15:21" x14ac:dyDescent="0.25">
      <c r="O508" s="84">
        <f t="shared" si="13"/>
        <v>-36.5</v>
      </c>
      <c r="P508" s="46">
        <v>126.5</v>
      </c>
      <c r="Q508" s="49">
        <v>211.07208143421093</v>
      </c>
      <c r="R508" s="18">
        <v>106.33030792644985</v>
      </c>
      <c r="S508" s="47">
        <v>39.597610639339344</v>
      </c>
      <c r="T508" s="18">
        <v>65.25</v>
      </c>
      <c r="U508" s="51">
        <v>49.77959695884676</v>
      </c>
    </row>
    <row r="509" spans="15:21" x14ac:dyDescent="0.25">
      <c r="O509" s="84">
        <f t="shared" si="13"/>
        <v>-36.75</v>
      </c>
      <c r="P509" s="46">
        <v>126.75</v>
      </c>
      <c r="Q509" s="49">
        <v>211.02998372013971</v>
      </c>
      <c r="R509" s="18">
        <v>106.36532217582105</v>
      </c>
      <c r="S509" s="47">
        <v>39.604694104039361</v>
      </c>
      <c r="T509" s="18">
        <v>64.875</v>
      </c>
      <c r="U509" s="51">
        <v>49.795989229832387</v>
      </c>
    </row>
    <row r="510" spans="15:21" x14ac:dyDescent="0.25">
      <c r="O510" s="84">
        <f t="shared" si="13"/>
        <v>-37</v>
      </c>
      <c r="P510" s="46">
        <v>127</v>
      </c>
      <c r="Q510" s="49">
        <v>210.9894992037741</v>
      </c>
      <c r="R510" s="18">
        <v>106.39901640095661</v>
      </c>
      <c r="S510" s="47">
        <v>39.611484395269407</v>
      </c>
      <c r="T510" s="18">
        <v>64.5</v>
      </c>
      <c r="U510" s="51">
        <v>49.811763518271846</v>
      </c>
    </row>
    <row r="511" spans="15:21" x14ac:dyDescent="0.25">
      <c r="O511" s="84">
        <f t="shared" si="13"/>
        <v>-37.25</v>
      </c>
      <c r="P511" s="46">
        <v>127.25</v>
      </c>
      <c r="Q511" s="49">
        <v>210.95056913246131</v>
      </c>
      <c r="R511" s="18">
        <v>106.43143791785849</v>
      </c>
      <c r="S511" s="47">
        <v>39.617992949680314</v>
      </c>
      <c r="T511" s="18">
        <v>64.125</v>
      </c>
      <c r="U511" s="51">
        <v>49.826941975624628</v>
      </c>
    </row>
    <row r="512" spans="15:21" x14ac:dyDescent="0.25">
      <c r="O512" s="84">
        <f t="shared" si="13"/>
        <v>-37.5</v>
      </c>
      <c r="P512" s="46">
        <v>127.5</v>
      </c>
      <c r="Q512" s="49">
        <v>210.913136790366</v>
      </c>
      <c r="R512" s="18">
        <v>106.46263242023956</v>
      </c>
      <c r="S512" s="47">
        <v>39.624230789394545</v>
      </c>
      <c r="T512" s="18">
        <v>63.75</v>
      </c>
      <c r="U512" s="51">
        <v>49.841545993859356</v>
      </c>
    </row>
    <row r="513" spans="15:21" x14ac:dyDescent="0.25">
      <c r="O513" s="84">
        <f t="shared" si="13"/>
        <v>-37.75</v>
      </c>
      <c r="P513" s="46">
        <v>127.75</v>
      </c>
      <c r="Q513" s="49">
        <v>210.87714743060801</v>
      </c>
      <c r="R513" s="18">
        <v>106.49264403384926</v>
      </c>
      <c r="S513" s="47">
        <v>39.630208535542828</v>
      </c>
      <c r="T513" s="18">
        <v>63.375</v>
      </c>
      <c r="U513" s="51">
        <v>49.855596230886867</v>
      </c>
    </row>
    <row r="514" spans="15:21" x14ac:dyDescent="0.25">
      <c r="O514" s="84">
        <f t="shared" si="13"/>
        <v>-38</v>
      </c>
      <c r="P514" s="46">
        <v>128</v>
      </c>
      <c r="Q514" s="49">
        <v>210.84254820963545</v>
      </c>
      <c r="R514" s="18">
        <v>106.52151536892913</v>
      </c>
      <c r="S514" s="47">
        <v>39.635936421435524</v>
      </c>
      <c r="T514" s="18">
        <v>63</v>
      </c>
      <c r="U514" s="51">
        <v>49.869112635117858</v>
      </c>
    </row>
    <row r="515" spans="15:21" x14ac:dyDescent="0.25">
      <c r="O515" s="84">
        <f t="shared" ref="O515:O578" si="14">90-P515</f>
        <v>-38.25</v>
      </c>
      <c r="P515" s="46">
        <v>128.25</v>
      </c>
      <c r="Q515" s="49">
        <v>210.80928812375575</v>
      </c>
      <c r="R515" s="18">
        <v>106.54928757087038</v>
      </c>
      <c r="S515" s="47">
        <v>39.641424305373988</v>
      </c>
      <c r="T515" s="18">
        <v>62.625</v>
      </c>
      <c r="U515" s="51">
        <v>49.882114469178674</v>
      </c>
    </row>
    <row r="516" spans="15:21" x14ac:dyDescent="0.25">
      <c r="O516" s="84">
        <f t="shared" si="14"/>
        <v>-38.5</v>
      </c>
      <c r="P516" s="46">
        <v>128.5</v>
      </c>
      <c r="Q516" s="49">
        <v>210.77731794775022</v>
      </c>
      <c r="R516" s="18">
        <v>106.57600036914252</v>
      </c>
      <c r="S516" s="47">
        <v>39.646681683107374</v>
      </c>
      <c r="T516" s="18">
        <v>62.25</v>
      </c>
      <c r="U516" s="51">
        <v>49.894620332817766</v>
      </c>
    </row>
    <row r="517" spans="15:21" x14ac:dyDescent="0.25">
      <c r="O517" s="84">
        <f t="shared" si="14"/>
        <v>-38.75</v>
      </c>
      <c r="P517" s="46">
        <v>128.75</v>
      </c>
      <c r="Q517" s="49">
        <v>210.74659017550081</v>
      </c>
      <c r="R517" s="18">
        <v>106.60169212455857</v>
      </c>
      <c r="S517" s="47">
        <v>39.651717699940725</v>
      </c>
      <c r="T517" s="18">
        <v>61.875</v>
      </c>
      <c r="U517" s="51">
        <v>49.90664818503334</v>
      </c>
    </row>
    <row r="518" spans="15:21" x14ac:dyDescent="0.25">
      <c r="O518" s="84">
        <f t="shared" si="14"/>
        <v>-39</v>
      </c>
      <c r="P518" s="46">
        <v>129</v>
      </c>
      <c r="Q518" s="49">
        <v>210.71705896256043</v>
      </c>
      <c r="R518" s="18">
        <v>106.62639987493947</v>
      </c>
      <c r="S518" s="47">
        <v>39.656541162500204</v>
      </c>
      <c r="T518" s="18">
        <v>61.5</v>
      </c>
      <c r="U518" s="51">
        <v>49.918215365451665</v>
      </c>
    </row>
    <row r="519" spans="15:21" x14ac:dyDescent="0.25">
      <c r="O519" s="84">
        <f t="shared" si="14"/>
        <v>-39.25</v>
      </c>
      <c r="P519" s="46">
        <v>129.25</v>
      </c>
      <c r="Q519" s="49">
        <v>210.6886800706007</v>
      </c>
      <c r="R519" s="18">
        <v>106.65015937923772</v>
      </c>
      <c r="S519" s="47">
        <v>39.661160550161668</v>
      </c>
      <c r="T519" s="18">
        <v>61.125</v>
      </c>
      <c r="U519" s="51">
        <v>49.929338614983934</v>
      </c>
    </row>
    <row r="520" spans="15:21" x14ac:dyDescent="0.25">
      <c r="O520" s="84">
        <f t="shared" si="14"/>
        <v>-39.5</v>
      </c>
      <c r="P520" s="46">
        <v>129.5</v>
      </c>
      <c r="Q520" s="49">
        <v>210.66141081367402</v>
      </c>
      <c r="R520" s="18">
        <v>106.67300516017721</v>
      </c>
      <c r="S520" s="47">
        <v>39.665584026148849</v>
      </c>
      <c r="T520" s="18">
        <v>60.75</v>
      </c>
      <c r="U520" s="51">
        <v>49.940034095788562</v>
      </c>
    </row>
    <row r="521" spans="15:21" x14ac:dyDescent="0.25">
      <c r="O521" s="84">
        <f t="shared" si="14"/>
        <v>-39.75</v>
      </c>
      <c r="P521" s="46">
        <v>129.75</v>
      </c>
      <c r="Q521" s="49">
        <v>210.63521000622865</v>
      </c>
      <c r="R521" s="18">
        <v>106.69497054546387</v>
      </c>
      <c r="S521" s="47">
        <v>39.669819448307557</v>
      </c>
      <c r="T521" s="18">
        <v>60.375</v>
      </c>
      <c r="U521" s="51">
        <v>49.950317410564367</v>
      </c>
    </row>
    <row r="522" spans="15:21" x14ac:dyDescent="0.25">
      <c r="O522" s="84">
        <f t="shared" si="14"/>
        <v>-40</v>
      </c>
      <c r="P522" s="46">
        <v>130</v>
      </c>
      <c r="Q522" s="49">
        <v>210.61003791281817</v>
      </c>
      <c r="R522" s="18">
        <v>106.71608770761948</v>
      </c>
      <c r="S522" s="47">
        <v>39.673874379562413</v>
      </c>
      <c r="T522" s="18">
        <v>60</v>
      </c>
      <c r="U522" s="51">
        <v>49.960203621199135</v>
      </c>
    </row>
    <row r="523" spans="15:21" x14ac:dyDescent="0.25">
      <c r="O523" s="84">
        <f t="shared" si="14"/>
        <v>90</v>
      </c>
      <c r="P523" s="46"/>
      <c r="Q523" s="49"/>
      <c r="R523" s="18"/>
      <c r="S523" s="47"/>
      <c r="T523" s="18"/>
      <c r="U523" s="51"/>
    </row>
    <row r="524" spans="15:21" x14ac:dyDescent="0.25">
      <c r="O524" s="84">
        <f t="shared" si="14"/>
        <v>90</v>
      </c>
      <c r="P524" s="46"/>
      <c r="Q524" s="49"/>
      <c r="R524" s="18"/>
      <c r="S524" s="47"/>
      <c r="T524" s="18"/>
      <c r="U524" s="51"/>
    </row>
    <row r="525" spans="15:21" x14ac:dyDescent="0.25">
      <c r="O525" s="84">
        <f t="shared" si="14"/>
        <v>90</v>
      </c>
      <c r="P525" s="46"/>
      <c r="Q525" s="49"/>
      <c r="R525" s="18"/>
      <c r="S525" s="47"/>
      <c r="T525" s="18"/>
      <c r="U525" s="51"/>
    </row>
    <row r="526" spans="15:21" x14ac:dyDescent="0.25">
      <c r="O526" s="84">
        <f t="shared" si="14"/>
        <v>90</v>
      </c>
      <c r="P526" s="46"/>
      <c r="Q526" s="49"/>
      <c r="R526" s="18"/>
      <c r="S526" s="47"/>
      <c r="T526" s="18"/>
      <c r="U526" s="51"/>
    </row>
    <row r="527" spans="15:21" x14ac:dyDescent="0.25">
      <c r="O527" s="84">
        <f t="shared" si="14"/>
        <v>90</v>
      </c>
      <c r="P527" s="46"/>
      <c r="Q527" s="49"/>
      <c r="R527" s="18"/>
      <c r="S527" s="47"/>
      <c r="T527" s="18"/>
      <c r="U527" s="51"/>
    </row>
    <row r="528" spans="15:21" x14ac:dyDescent="0.25">
      <c r="O528" s="84">
        <f t="shared" si="14"/>
        <v>90</v>
      </c>
      <c r="P528" s="46"/>
      <c r="Q528" s="49"/>
      <c r="R528" s="18"/>
      <c r="S528" s="47"/>
      <c r="T528" s="18"/>
      <c r="U528" s="51"/>
    </row>
    <row r="529" spans="15:21" x14ac:dyDescent="0.25">
      <c r="O529" s="84">
        <f t="shared" si="14"/>
        <v>90</v>
      </c>
      <c r="P529" s="46"/>
      <c r="Q529" s="49"/>
      <c r="R529" s="18"/>
      <c r="S529" s="47"/>
      <c r="T529" s="18"/>
      <c r="U529" s="51"/>
    </row>
    <row r="530" spans="15:21" x14ac:dyDescent="0.25">
      <c r="O530" s="84">
        <f t="shared" si="14"/>
        <v>90</v>
      </c>
      <c r="P530" s="46"/>
      <c r="Q530" s="49"/>
      <c r="R530" s="18"/>
      <c r="S530" s="47"/>
      <c r="T530" s="18"/>
      <c r="U530" s="51"/>
    </row>
    <row r="531" spans="15:21" x14ac:dyDescent="0.25">
      <c r="O531" s="84">
        <f t="shared" si="14"/>
        <v>90</v>
      </c>
      <c r="P531" s="46"/>
      <c r="Q531" s="49"/>
      <c r="R531" s="18"/>
      <c r="S531" s="47"/>
      <c r="T531" s="18"/>
      <c r="U531" s="51"/>
    </row>
    <row r="532" spans="15:21" x14ac:dyDescent="0.25">
      <c r="O532" s="84">
        <f t="shared" si="14"/>
        <v>90</v>
      </c>
      <c r="P532" s="46"/>
      <c r="Q532" s="49"/>
      <c r="R532" s="18"/>
      <c r="S532" s="47"/>
      <c r="T532" s="18"/>
      <c r="U532" s="51"/>
    </row>
    <row r="533" spans="15:21" x14ac:dyDescent="0.25">
      <c r="O533" s="84">
        <f t="shared" si="14"/>
        <v>90</v>
      </c>
      <c r="P533" s="46"/>
      <c r="Q533" s="49"/>
      <c r="R533" s="18"/>
      <c r="S533" s="47"/>
      <c r="T533" s="18"/>
      <c r="U533" s="51"/>
    </row>
    <row r="534" spans="15:21" x14ac:dyDescent="0.25">
      <c r="O534" s="84">
        <f t="shared" si="14"/>
        <v>90</v>
      </c>
      <c r="P534" s="46"/>
      <c r="Q534" s="49"/>
      <c r="R534" s="18"/>
      <c r="S534" s="47"/>
      <c r="T534" s="18"/>
      <c r="U534" s="51"/>
    </row>
    <row r="535" spans="15:21" x14ac:dyDescent="0.25">
      <c r="O535" s="84">
        <f t="shared" si="14"/>
        <v>90</v>
      </c>
      <c r="P535" s="46"/>
      <c r="Q535" s="49"/>
      <c r="R535" s="18"/>
      <c r="S535" s="47"/>
      <c r="T535" s="18"/>
      <c r="U535" s="51"/>
    </row>
    <row r="536" spans="15:21" x14ac:dyDescent="0.25">
      <c r="O536" s="84">
        <f t="shared" si="14"/>
        <v>90</v>
      </c>
      <c r="P536" s="46"/>
      <c r="Q536" s="49"/>
      <c r="R536" s="18"/>
      <c r="S536" s="47"/>
      <c r="T536" s="18"/>
      <c r="U536" s="51"/>
    </row>
    <row r="537" spans="15:21" x14ac:dyDescent="0.25">
      <c r="O537" s="84">
        <f t="shared" si="14"/>
        <v>90</v>
      </c>
      <c r="P537" s="46"/>
      <c r="Q537" s="49"/>
      <c r="R537" s="18"/>
      <c r="S537" s="47"/>
      <c r="T537" s="18"/>
      <c r="U537" s="51"/>
    </row>
    <row r="538" spans="15:21" x14ac:dyDescent="0.25">
      <c r="O538" s="84">
        <f t="shared" si="14"/>
        <v>90</v>
      </c>
      <c r="P538" s="46"/>
      <c r="Q538" s="49"/>
      <c r="R538" s="18"/>
      <c r="S538" s="47"/>
      <c r="T538" s="18"/>
      <c r="U538" s="51"/>
    </row>
    <row r="539" spans="15:21" x14ac:dyDescent="0.25">
      <c r="O539" s="84">
        <f t="shared" si="14"/>
        <v>90</v>
      </c>
      <c r="P539" s="46"/>
      <c r="Q539" s="49"/>
      <c r="R539" s="18"/>
      <c r="S539" s="47"/>
      <c r="T539" s="18"/>
      <c r="U539" s="51"/>
    </row>
    <row r="540" spans="15:21" x14ac:dyDescent="0.25">
      <c r="O540" s="84">
        <f t="shared" si="14"/>
        <v>90</v>
      </c>
      <c r="P540" s="46"/>
      <c r="Q540" s="49"/>
      <c r="R540" s="18"/>
      <c r="S540" s="47"/>
      <c r="T540" s="18"/>
      <c r="U540" s="51"/>
    </row>
    <row r="541" spans="15:21" x14ac:dyDescent="0.25">
      <c r="O541" s="84">
        <f t="shared" si="14"/>
        <v>90</v>
      </c>
      <c r="P541" s="46"/>
      <c r="Q541" s="49"/>
      <c r="R541" s="18"/>
      <c r="S541" s="47"/>
      <c r="T541" s="18"/>
      <c r="U541" s="51"/>
    </row>
    <row r="542" spans="15:21" x14ac:dyDescent="0.25">
      <c r="O542" s="84">
        <f t="shared" si="14"/>
        <v>90</v>
      </c>
      <c r="P542" s="46"/>
      <c r="Q542" s="49"/>
      <c r="R542" s="18"/>
      <c r="S542" s="47"/>
      <c r="T542" s="18"/>
      <c r="U542" s="51"/>
    </row>
    <row r="543" spans="15:21" x14ac:dyDescent="0.25">
      <c r="O543" s="84">
        <f t="shared" si="14"/>
        <v>90</v>
      </c>
      <c r="P543" s="46"/>
      <c r="Q543" s="49"/>
      <c r="R543" s="18"/>
      <c r="S543" s="47"/>
      <c r="T543" s="18"/>
      <c r="U543" s="51"/>
    </row>
    <row r="544" spans="15:21" x14ac:dyDescent="0.25">
      <c r="O544" s="84">
        <f t="shared" si="14"/>
        <v>90</v>
      </c>
      <c r="P544" s="46"/>
      <c r="Q544" s="49"/>
      <c r="R544" s="18"/>
      <c r="S544" s="47"/>
      <c r="T544" s="18"/>
      <c r="U544" s="51"/>
    </row>
    <row r="545" spans="15:21" x14ac:dyDescent="0.25">
      <c r="O545" s="84">
        <f t="shared" si="14"/>
        <v>90</v>
      </c>
      <c r="P545" s="46"/>
      <c r="Q545" s="49"/>
      <c r="R545" s="18"/>
      <c r="S545" s="47"/>
      <c r="T545" s="18"/>
      <c r="U545" s="51"/>
    </row>
    <row r="546" spans="15:21" x14ac:dyDescent="0.25">
      <c r="O546" s="84">
        <f t="shared" si="14"/>
        <v>90</v>
      </c>
      <c r="P546" s="46"/>
      <c r="Q546" s="49"/>
      <c r="R546" s="18"/>
      <c r="S546" s="47"/>
      <c r="T546" s="18"/>
      <c r="U546" s="51"/>
    </row>
    <row r="547" spans="15:21" x14ac:dyDescent="0.25">
      <c r="O547" s="84">
        <f t="shared" si="14"/>
        <v>90</v>
      </c>
      <c r="P547" s="46"/>
      <c r="Q547" s="49"/>
      <c r="R547" s="18"/>
      <c r="S547" s="47"/>
      <c r="T547" s="18"/>
      <c r="U547" s="51"/>
    </row>
    <row r="548" spans="15:21" x14ac:dyDescent="0.25">
      <c r="O548" s="84">
        <f t="shared" si="14"/>
        <v>90</v>
      </c>
      <c r="P548" s="46"/>
      <c r="Q548" s="49"/>
      <c r="R548" s="18"/>
      <c r="S548" s="47"/>
      <c r="T548" s="18"/>
      <c r="U548" s="51"/>
    </row>
    <row r="549" spans="15:21" x14ac:dyDescent="0.25">
      <c r="O549" s="84">
        <f t="shared" si="14"/>
        <v>90</v>
      </c>
      <c r="P549" s="46"/>
      <c r="Q549" s="49"/>
      <c r="R549" s="18"/>
      <c r="S549" s="47"/>
      <c r="T549" s="18"/>
      <c r="U549" s="51"/>
    </row>
    <row r="550" spans="15:21" x14ac:dyDescent="0.25">
      <c r="O550" s="84">
        <f t="shared" si="14"/>
        <v>90</v>
      </c>
      <c r="P550" s="46"/>
      <c r="Q550" s="49"/>
      <c r="R550" s="18"/>
      <c r="S550" s="47"/>
      <c r="T550" s="18"/>
      <c r="U550" s="51"/>
    </row>
    <row r="551" spans="15:21" x14ac:dyDescent="0.25">
      <c r="O551" s="84">
        <f t="shared" si="14"/>
        <v>90</v>
      </c>
      <c r="P551" s="46"/>
      <c r="Q551" s="49"/>
      <c r="R551" s="18"/>
      <c r="S551" s="47"/>
      <c r="T551" s="18"/>
      <c r="U551" s="51"/>
    </row>
    <row r="552" spans="15:21" x14ac:dyDescent="0.25">
      <c r="O552" s="84">
        <f t="shared" si="14"/>
        <v>90</v>
      </c>
      <c r="P552" s="46"/>
      <c r="Q552" s="49"/>
      <c r="R552" s="18"/>
      <c r="S552" s="47"/>
      <c r="T552" s="18"/>
      <c r="U552" s="51"/>
    </row>
    <row r="553" spans="15:21" x14ac:dyDescent="0.25">
      <c r="O553" s="84">
        <f t="shared" si="14"/>
        <v>90</v>
      </c>
      <c r="P553" s="46"/>
      <c r="Q553" s="49"/>
      <c r="R553" s="18"/>
      <c r="S553" s="47"/>
      <c r="T553" s="18"/>
      <c r="U553" s="51"/>
    </row>
    <row r="554" spans="15:21" x14ac:dyDescent="0.25">
      <c r="O554" s="84">
        <f t="shared" si="14"/>
        <v>90</v>
      </c>
      <c r="P554" s="46"/>
      <c r="Q554" s="49"/>
      <c r="R554" s="18"/>
      <c r="S554" s="47"/>
      <c r="T554" s="18"/>
      <c r="U554" s="51"/>
    </row>
    <row r="555" spans="15:21" x14ac:dyDescent="0.25">
      <c r="O555" s="84">
        <f t="shared" si="14"/>
        <v>90</v>
      </c>
      <c r="P555" s="46"/>
      <c r="Q555" s="49"/>
      <c r="R555" s="18"/>
      <c r="S555" s="47"/>
      <c r="T555" s="18"/>
      <c r="U555" s="51"/>
    </row>
    <row r="556" spans="15:21" x14ac:dyDescent="0.25">
      <c r="O556" s="84">
        <f t="shared" si="14"/>
        <v>90</v>
      </c>
      <c r="P556" s="46"/>
      <c r="Q556" s="49"/>
      <c r="R556" s="18"/>
      <c r="S556" s="47"/>
      <c r="T556" s="18"/>
      <c r="U556" s="51"/>
    </row>
    <row r="557" spans="15:21" x14ac:dyDescent="0.25">
      <c r="O557" s="84">
        <f t="shared" si="14"/>
        <v>90</v>
      </c>
      <c r="P557" s="46"/>
      <c r="Q557" s="49"/>
      <c r="R557" s="18"/>
      <c r="S557" s="47"/>
      <c r="T557" s="18"/>
      <c r="U557" s="51"/>
    </row>
    <row r="558" spans="15:21" x14ac:dyDescent="0.25">
      <c r="O558" s="84">
        <f t="shared" si="14"/>
        <v>90</v>
      </c>
      <c r="P558" s="46"/>
      <c r="Q558" s="49"/>
      <c r="R558" s="18"/>
      <c r="S558" s="47"/>
      <c r="T558" s="18"/>
      <c r="U558" s="51"/>
    </row>
    <row r="559" spans="15:21" x14ac:dyDescent="0.25">
      <c r="O559" s="84">
        <f t="shared" si="14"/>
        <v>90</v>
      </c>
      <c r="P559" s="46"/>
      <c r="Q559" s="49"/>
      <c r="R559" s="18"/>
      <c r="S559" s="47"/>
      <c r="T559" s="18"/>
      <c r="U559" s="51"/>
    </row>
    <row r="560" spans="15:21" x14ac:dyDescent="0.25">
      <c r="O560" s="84">
        <f t="shared" si="14"/>
        <v>90</v>
      </c>
      <c r="P560" s="46"/>
      <c r="Q560" s="49"/>
      <c r="R560" s="18"/>
      <c r="S560" s="47"/>
      <c r="T560" s="18"/>
      <c r="U560" s="51"/>
    </row>
    <row r="561" spans="15:21" x14ac:dyDescent="0.25">
      <c r="O561" s="84">
        <f t="shared" si="14"/>
        <v>90</v>
      </c>
      <c r="P561" s="46"/>
      <c r="Q561" s="49"/>
      <c r="R561" s="18"/>
      <c r="S561" s="47"/>
      <c r="T561" s="18"/>
      <c r="U561" s="51"/>
    </row>
    <row r="562" spans="15:21" x14ac:dyDescent="0.25">
      <c r="O562" s="84">
        <f t="shared" si="14"/>
        <v>90</v>
      </c>
      <c r="P562" s="46"/>
      <c r="Q562" s="49"/>
      <c r="R562" s="18"/>
      <c r="S562" s="47"/>
      <c r="T562" s="18"/>
      <c r="U562" s="51"/>
    </row>
    <row r="563" spans="15:21" x14ac:dyDescent="0.25">
      <c r="O563" s="84">
        <f t="shared" si="14"/>
        <v>90</v>
      </c>
      <c r="P563" s="46"/>
      <c r="Q563" s="49"/>
      <c r="R563" s="18"/>
      <c r="S563" s="47"/>
      <c r="T563" s="18"/>
      <c r="U563" s="51"/>
    </row>
    <row r="564" spans="15:21" x14ac:dyDescent="0.25">
      <c r="O564" s="84">
        <f t="shared" si="14"/>
        <v>90</v>
      </c>
      <c r="P564" s="46"/>
      <c r="Q564" s="49"/>
      <c r="R564" s="18"/>
      <c r="S564" s="47"/>
      <c r="T564" s="18"/>
      <c r="U564" s="51"/>
    </row>
    <row r="565" spans="15:21" x14ac:dyDescent="0.25">
      <c r="O565" s="84">
        <f t="shared" si="14"/>
        <v>90</v>
      </c>
      <c r="P565" s="46"/>
      <c r="Q565" s="49"/>
      <c r="R565" s="18"/>
      <c r="S565" s="47"/>
      <c r="T565" s="18"/>
      <c r="U565" s="51"/>
    </row>
    <row r="566" spans="15:21" x14ac:dyDescent="0.25">
      <c r="O566" s="84">
        <f t="shared" si="14"/>
        <v>90</v>
      </c>
      <c r="P566" s="46"/>
      <c r="Q566" s="49"/>
      <c r="R566" s="18"/>
      <c r="S566" s="47"/>
      <c r="T566" s="18"/>
      <c r="U566" s="51"/>
    </row>
    <row r="567" spans="15:21" x14ac:dyDescent="0.25">
      <c r="O567" s="84">
        <f t="shared" si="14"/>
        <v>90</v>
      </c>
      <c r="P567" s="46"/>
      <c r="Q567" s="49"/>
      <c r="R567" s="18"/>
      <c r="S567" s="47"/>
      <c r="T567" s="18"/>
      <c r="U567" s="51"/>
    </row>
    <row r="568" spans="15:21" x14ac:dyDescent="0.25">
      <c r="O568" s="84">
        <f t="shared" si="14"/>
        <v>90</v>
      </c>
      <c r="P568" s="46"/>
      <c r="Q568" s="49"/>
      <c r="R568" s="18"/>
      <c r="S568" s="47"/>
      <c r="T568" s="18"/>
      <c r="U568" s="51"/>
    </row>
    <row r="569" spans="15:21" x14ac:dyDescent="0.25">
      <c r="O569" s="84">
        <f t="shared" si="14"/>
        <v>90</v>
      </c>
      <c r="P569" s="46"/>
      <c r="Q569" s="49"/>
      <c r="R569" s="18"/>
      <c r="S569" s="47"/>
      <c r="T569" s="18"/>
      <c r="U569" s="51"/>
    </row>
    <row r="570" spans="15:21" x14ac:dyDescent="0.25">
      <c r="O570" s="84">
        <f t="shared" si="14"/>
        <v>90</v>
      </c>
      <c r="P570" s="46"/>
      <c r="Q570" s="49"/>
      <c r="R570" s="18"/>
      <c r="S570" s="47"/>
      <c r="T570" s="18"/>
      <c r="U570" s="51"/>
    </row>
    <row r="571" spans="15:21" x14ac:dyDescent="0.25">
      <c r="O571" s="84">
        <f t="shared" si="14"/>
        <v>90</v>
      </c>
      <c r="P571" s="46"/>
      <c r="Q571" s="49"/>
      <c r="R571" s="18"/>
      <c r="S571" s="47"/>
      <c r="T571" s="18"/>
      <c r="U571" s="51"/>
    </row>
    <row r="572" spans="15:21" x14ac:dyDescent="0.25">
      <c r="O572" s="84">
        <f t="shared" si="14"/>
        <v>90</v>
      </c>
      <c r="P572" s="46"/>
      <c r="Q572" s="49"/>
      <c r="R572" s="18"/>
      <c r="S572" s="47"/>
      <c r="T572" s="18"/>
      <c r="U572" s="51"/>
    </row>
    <row r="573" spans="15:21" x14ac:dyDescent="0.25">
      <c r="O573" s="84">
        <f t="shared" si="14"/>
        <v>90</v>
      </c>
      <c r="P573" s="46"/>
      <c r="Q573" s="49"/>
      <c r="R573" s="18"/>
      <c r="S573" s="47"/>
      <c r="T573" s="18"/>
      <c r="U573" s="51"/>
    </row>
    <row r="574" spans="15:21" x14ac:dyDescent="0.25">
      <c r="O574" s="84">
        <f t="shared" si="14"/>
        <v>90</v>
      </c>
      <c r="P574" s="46"/>
      <c r="Q574" s="49"/>
      <c r="R574" s="18"/>
      <c r="S574" s="47"/>
      <c r="T574" s="18"/>
      <c r="U574" s="51"/>
    </row>
    <row r="575" spans="15:21" x14ac:dyDescent="0.25">
      <c r="O575" s="84">
        <f t="shared" si="14"/>
        <v>90</v>
      </c>
      <c r="P575" s="46"/>
      <c r="Q575" s="49"/>
      <c r="R575" s="18"/>
      <c r="S575" s="47"/>
      <c r="T575" s="18"/>
      <c r="U575" s="51"/>
    </row>
    <row r="576" spans="15:21" x14ac:dyDescent="0.25">
      <c r="O576" s="84">
        <f t="shared" si="14"/>
        <v>90</v>
      </c>
      <c r="P576" s="46"/>
      <c r="Q576" s="49"/>
      <c r="R576" s="18"/>
      <c r="S576" s="47"/>
      <c r="T576" s="18"/>
      <c r="U576" s="51"/>
    </row>
    <row r="577" spans="15:21" x14ac:dyDescent="0.25">
      <c r="O577" s="84">
        <f t="shared" si="14"/>
        <v>90</v>
      </c>
      <c r="P577" s="46"/>
      <c r="Q577" s="49"/>
      <c r="R577" s="18"/>
      <c r="S577" s="47"/>
      <c r="T577" s="18"/>
      <c r="U577" s="51"/>
    </row>
    <row r="578" spans="15:21" x14ac:dyDescent="0.25">
      <c r="O578" s="84">
        <f t="shared" si="14"/>
        <v>90</v>
      </c>
      <c r="P578" s="46"/>
      <c r="Q578" s="49"/>
      <c r="R578" s="18"/>
      <c r="S578" s="47"/>
      <c r="T578" s="18"/>
      <c r="U578" s="51"/>
    </row>
    <row r="579" spans="15:21" x14ac:dyDescent="0.25">
      <c r="O579" s="84">
        <f t="shared" ref="O579:O642" si="15">90-P579</f>
        <v>90</v>
      </c>
      <c r="P579" s="46"/>
      <c r="Q579" s="49"/>
      <c r="R579" s="18"/>
      <c r="S579" s="47"/>
      <c r="T579" s="18"/>
      <c r="U579" s="51"/>
    </row>
    <row r="580" spans="15:21" x14ac:dyDescent="0.25">
      <c r="O580" s="84">
        <f t="shared" si="15"/>
        <v>90</v>
      </c>
      <c r="P580" s="46"/>
      <c r="Q580" s="49"/>
      <c r="R580" s="18"/>
      <c r="S580" s="47"/>
      <c r="T580" s="18"/>
      <c r="U580" s="51"/>
    </row>
    <row r="581" spans="15:21" x14ac:dyDescent="0.25">
      <c r="O581" s="84">
        <f t="shared" si="15"/>
        <v>90</v>
      </c>
      <c r="P581" s="46"/>
      <c r="Q581" s="49"/>
      <c r="R581" s="18"/>
      <c r="S581" s="47"/>
      <c r="T581" s="18"/>
      <c r="U581" s="51"/>
    </row>
    <row r="582" spans="15:21" x14ac:dyDescent="0.25">
      <c r="O582" s="84">
        <f t="shared" si="15"/>
        <v>90</v>
      </c>
      <c r="P582" s="46"/>
      <c r="Q582" s="49"/>
      <c r="R582" s="18"/>
      <c r="S582" s="47"/>
      <c r="T582" s="18"/>
      <c r="U582" s="51"/>
    </row>
    <row r="583" spans="15:21" x14ac:dyDescent="0.25">
      <c r="O583" s="84">
        <f t="shared" si="15"/>
        <v>90</v>
      </c>
      <c r="P583" s="46"/>
      <c r="Q583" s="49"/>
      <c r="R583" s="18"/>
      <c r="S583" s="47"/>
      <c r="T583" s="18"/>
      <c r="U583" s="51"/>
    </row>
    <row r="584" spans="15:21" x14ac:dyDescent="0.25">
      <c r="O584" s="84">
        <f t="shared" si="15"/>
        <v>90</v>
      </c>
      <c r="P584" s="46"/>
      <c r="Q584" s="49"/>
      <c r="R584" s="18"/>
      <c r="S584" s="47"/>
      <c r="T584" s="18"/>
      <c r="U584" s="51"/>
    </row>
    <row r="585" spans="15:21" x14ac:dyDescent="0.25">
      <c r="O585" s="84">
        <f t="shared" si="15"/>
        <v>90</v>
      </c>
      <c r="P585" s="46"/>
      <c r="Q585" s="49"/>
      <c r="R585" s="18"/>
      <c r="S585" s="47"/>
      <c r="T585" s="18"/>
      <c r="U585" s="51"/>
    </row>
    <row r="586" spans="15:21" x14ac:dyDescent="0.25">
      <c r="O586" s="84">
        <f t="shared" si="15"/>
        <v>90</v>
      </c>
      <c r="P586" s="46"/>
      <c r="Q586" s="49"/>
      <c r="R586" s="18"/>
      <c r="S586" s="47"/>
      <c r="T586" s="18"/>
      <c r="U586" s="51"/>
    </row>
    <row r="587" spans="15:21" x14ac:dyDescent="0.25">
      <c r="O587" s="84">
        <f t="shared" si="15"/>
        <v>90</v>
      </c>
      <c r="P587" s="46"/>
      <c r="Q587" s="49"/>
      <c r="R587" s="18"/>
      <c r="S587" s="47"/>
      <c r="T587" s="18"/>
      <c r="U587" s="51"/>
    </row>
    <row r="588" spans="15:21" x14ac:dyDescent="0.25">
      <c r="O588" s="84">
        <f t="shared" si="15"/>
        <v>90</v>
      </c>
      <c r="P588" s="46"/>
      <c r="Q588" s="49"/>
      <c r="R588" s="18"/>
      <c r="S588" s="47"/>
      <c r="T588" s="18"/>
      <c r="U588" s="51"/>
    </row>
    <row r="589" spans="15:21" x14ac:dyDescent="0.25">
      <c r="O589" s="84">
        <f t="shared" si="15"/>
        <v>90</v>
      </c>
      <c r="P589" s="46"/>
      <c r="Q589" s="49"/>
      <c r="R589" s="18"/>
      <c r="S589" s="47"/>
      <c r="T589" s="18"/>
      <c r="U589" s="51"/>
    </row>
    <row r="590" spans="15:21" x14ac:dyDescent="0.25">
      <c r="O590" s="84">
        <f t="shared" si="15"/>
        <v>90</v>
      </c>
      <c r="P590" s="46"/>
      <c r="Q590" s="49"/>
      <c r="R590" s="18"/>
      <c r="S590" s="47"/>
      <c r="T590" s="18"/>
      <c r="U590" s="51"/>
    </row>
    <row r="591" spans="15:21" x14ac:dyDescent="0.25">
      <c r="O591" s="84">
        <f t="shared" si="15"/>
        <v>90</v>
      </c>
      <c r="P591" s="46"/>
      <c r="Q591" s="49"/>
      <c r="R591" s="18"/>
      <c r="S591" s="47"/>
      <c r="T591" s="18"/>
      <c r="U591" s="51"/>
    </row>
    <row r="592" spans="15:21" x14ac:dyDescent="0.25">
      <c r="O592" s="84">
        <f t="shared" si="15"/>
        <v>90</v>
      </c>
      <c r="P592" s="46"/>
      <c r="Q592" s="49"/>
      <c r="R592" s="18"/>
      <c r="S592" s="47"/>
      <c r="T592" s="18"/>
      <c r="U592" s="51"/>
    </row>
    <row r="593" spans="15:21" x14ac:dyDescent="0.25">
      <c r="O593" s="84">
        <f t="shared" si="15"/>
        <v>90</v>
      </c>
      <c r="P593" s="46"/>
      <c r="Q593" s="49"/>
      <c r="R593" s="18"/>
      <c r="S593" s="47"/>
      <c r="T593" s="18"/>
      <c r="U593" s="51"/>
    </row>
    <row r="594" spans="15:21" x14ac:dyDescent="0.25">
      <c r="O594" s="84">
        <f t="shared" si="15"/>
        <v>90</v>
      </c>
      <c r="P594" s="46"/>
      <c r="Q594" s="49"/>
      <c r="R594" s="18"/>
      <c r="S594" s="47"/>
      <c r="T594" s="18"/>
      <c r="U594" s="51"/>
    </row>
    <row r="595" spans="15:21" x14ac:dyDescent="0.25">
      <c r="O595" s="84">
        <f t="shared" si="15"/>
        <v>90</v>
      </c>
      <c r="P595" s="46"/>
      <c r="Q595" s="49"/>
      <c r="R595" s="18"/>
      <c r="S595" s="47"/>
      <c r="T595" s="18"/>
      <c r="U595" s="51"/>
    </row>
    <row r="596" spans="15:21" x14ac:dyDescent="0.25">
      <c r="O596" s="84">
        <f t="shared" si="15"/>
        <v>90</v>
      </c>
      <c r="P596" s="46"/>
      <c r="Q596" s="49"/>
      <c r="R596" s="18"/>
      <c r="S596" s="47"/>
      <c r="T596" s="18"/>
      <c r="U596" s="51"/>
    </row>
    <row r="597" spans="15:21" x14ac:dyDescent="0.25">
      <c r="O597" s="84">
        <f t="shared" si="15"/>
        <v>90</v>
      </c>
      <c r="P597" s="46"/>
      <c r="Q597" s="49"/>
      <c r="R597" s="18"/>
      <c r="S597" s="47"/>
      <c r="T597" s="18"/>
      <c r="U597" s="51"/>
    </row>
    <row r="598" spans="15:21" x14ac:dyDescent="0.25">
      <c r="O598" s="84">
        <f t="shared" si="15"/>
        <v>90</v>
      </c>
      <c r="P598" s="46"/>
      <c r="Q598" s="49"/>
      <c r="R598" s="18"/>
      <c r="S598" s="47"/>
      <c r="T598" s="18"/>
      <c r="U598" s="51"/>
    </row>
    <row r="599" spans="15:21" x14ac:dyDescent="0.25">
      <c r="O599" s="84">
        <f t="shared" si="15"/>
        <v>90</v>
      </c>
      <c r="P599" s="46"/>
      <c r="Q599" s="49"/>
      <c r="R599" s="18"/>
      <c r="S599" s="47"/>
      <c r="T599" s="18"/>
      <c r="U599" s="51"/>
    </row>
    <row r="600" spans="15:21" x14ac:dyDescent="0.25">
      <c r="O600" s="84">
        <f t="shared" si="15"/>
        <v>90</v>
      </c>
      <c r="P600" s="46"/>
      <c r="Q600" s="49"/>
      <c r="R600" s="18"/>
      <c r="S600" s="47"/>
      <c r="T600" s="18"/>
      <c r="U600" s="51"/>
    </row>
    <row r="601" spans="15:21" x14ac:dyDescent="0.25">
      <c r="O601" s="84">
        <f t="shared" si="15"/>
        <v>90</v>
      </c>
      <c r="P601" s="46"/>
      <c r="Q601" s="49"/>
      <c r="R601" s="18"/>
      <c r="S601" s="47"/>
      <c r="T601" s="18"/>
      <c r="U601" s="51"/>
    </row>
    <row r="602" spans="15:21" x14ac:dyDescent="0.25">
      <c r="O602" s="84">
        <f t="shared" si="15"/>
        <v>90</v>
      </c>
      <c r="P602" s="46"/>
      <c r="Q602" s="49"/>
      <c r="R602" s="18"/>
      <c r="S602" s="47"/>
      <c r="T602" s="18"/>
      <c r="U602" s="51"/>
    </row>
    <row r="603" spans="15:21" x14ac:dyDescent="0.25">
      <c r="O603" s="84">
        <f t="shared" si="15"/>
        <v>90</v>
      </c>
      <c r="P603" s="46"/>
      <c r="Q603" s="49"/>
      <c r="R603" s="18"/>
      <c r="S603" s="47"/>
      <c r="T603" s="18"/>
      <c r="U603" s="51"/>
    </row>
    <row r="604" spans="15:21" x14ac:dyDescent="0.25">
      <c r="O604" s="84">
        <f t="shared" si="15"/>
        <v>90</v>
      </c>
      <c r="P604" s="46"/>
      <c r="Q604" s="49"/>
      <c r="R604" s="18"/>
      <c r="S604" s="47"/>
      <c r="T604" s="18"/>
      <c r="U604" s="51"/>
    </row>
    <row r="605" spans="15:21" x14ac:dyDescent="0.25">
      <c r="O605" s="84">
        <f t="shared" si="15"/>
        <v>90</v>
      </c>
      <c r="P605" s="46"/>
      <c r="Q605" s="49"/>
      <c r="R605" s="18"/>
      <c r="S605" s="47"/>
      <c r="T605" s="18"/>
      <c r="U605" s="51"/>
    </row>
    <row r="606" spans="15:21" x14ac:dyDescent="0.25">
      <c r="O606" s="84">
        <f t="shared" si="15"/>
        <v>90</v>
      </c>
      <c r="P606" s="46"/>
      <c r="Q606" s="49"/>
      <c r="R606" s="18"/>
      <c r="S606" s="47"/>
      <c r="T606" s="18"/>
      <c r="U606" s="51"/>
    </row>
    <row r="607" spans="15:21" x14ac:dyDescent="0.25">
      <c r="O607" s="84">
        <f t="shared" si="15"/>
        <v>90</v>
      </c>
      <c r="P607" s="46"/>
      <c r="Q607" s="49"/>
      <c r="R607" s="18"/>
      <c r="S607" s="47"/>
      <c r="T607" s="18"/>
      <c r="U607" s="51"/>
    </row>
    <row r="608" spans="15:21" x14ac:dyDescent="0.25">
      <c r="O608" s="84">
        <f t="shared" si="15"/>
        <v>90</v>
      </c>
      <c r="P608" s="46"/>
      <c r="Q608" s="49"/>
      <c r="R608" s="18"/>
      <c r="S608" s="47"/>
      <c r="T608" s="18"/>
      <c r="U608" s="51"/>
    </row>
    <row r="609" spans="15:21" x14ac:dyDescent="0.25">
      <c r="O609" s="84">
        <f t="shared" si="15"/>
        <v>90</v>
      </c>
      <c r="P609" s="46"/>
      <c r="Q609" s="49"/>
      <c r="R609" s="18"/>
      <c r="S609" s="47"/>
      <c r="T609" s="18"/>
      <c r="U609" s="51"/>
    </row>
    <row r="610" spans="15:21" x14ac:dyDescent="0.25">
      <c r="O610" s="84">
        <f t="shared" si="15"/>
        <v>90</v>
      </c>
      <c r="P610" s="46"/>
      <c r="Q610" s="49"/>
      <c r="R610" s="18"/>
      <c r="S610" s="47"/>
      <c r="T610" s="18"/>
      <c r="U610" s="51"/>
    </row>
    <row r="611" spans="15:21" x14ac:dyDescent="0.25">
      <c r="O611" s="84">
        <f t="shared" si="15"/>
        <v>90</v>
      </c>
      <c r="P611" s="46"/>
      <c r="Q611" s="49"/>
      <c r="R611" s="18"/>
      <c r="S611" s="47"/>
      <c r="T611" s="18"/>
      <c r="U611" s="51"/>
    </row>
    <row r="612" spans="15:21" x14ac:dyDescent="0.25">
      <c r="O612" s="84">
        <f t="shared" si="15"/>
        <v>90</v>
      </c>
      <c r="P612" s="46"/>
      <c r="Q612" s="49"/>
      <c r="R612" s="18"/>
      <c r="S612" s="47"/>
      <c r="T612" s="18"/>
      <c r="U612" s="51"/>
    </row>
    <row r="613" spans="15:21" x14ac:dyDescent="0.25">
      <c r="O613" s="84">
        <f t="shared" si="15"/>
        <v>90</v>
      </c>
      <c r="P613" s="46"/>
      <c r="Q613" s="49"/>
      <c r="R613" s="18"/>
      <c r="S613" s="47"/>
      <c r="T613" s="18"/>
      <c r="U613" s="51"/>
    </row>
    <row r="614" spans="15:21" x14ac:dyDescent="0.25">
      <c r="O614" s="84">
        <f t="shared" si="15"/>
        <v>90</v>
      </c>
      <c r="P614" s="46"/>
      <c r="Q614" s="49"/>
      <c r="R614" s="18"/>
      <c r="S614" s="47"/>
      <c r="T614" s="18"/>
      <c r="U614" s="51"/>
    </row>
    <row r="615" spans="15:21" x14ac:dyDescent="0.25">
      <c r="O615" s="84">
        <f t="shared" si="15"/>
        <v>90</v>
      </c>
      <c r="P615" s="46"/>
      <c r="Q615" s="49"/>
      <c r="R615" s="18"/>
      <c r="S615" s="47"/>
      <c r="T615" s="18"/>
      <c r="U615" s="51"/>
    </row>
    <row r="616" spans="15:21" x14ac:dyDescent="0.25">
      <c r="O616" s="84">
        <f t="shared" si="15"/>
        <v>90</v>
      </c>
      <c r="P616" s="46"/>
      <c r="Q616" s="49"/>
      <c r="R616" s="18"/>
      <c r="S616" s="47"/>
      <c r="T616" s="18"/>
      <c r="U616" s="51"/>
    </row>
    <row r="617" spans="15:21" x14ac:dyDescent="0.25">
      <c r="O617" s="84">
        <f t="shared" si="15"/>
        <v>90</v>
      </c>
      <c r="P617" s="46"/>
      <c r="Q617" s="49"/>
      <c r="R617" s="18"/>
      <c r="S617" s="47"/>
      <c r="T617" s="18"/>
      <c r="U617" s="51"/>
    </row>
    <row r="618" spans="15:21" x14ac:dyDescent="0.25">
      <c r="O618" s="84">
        <f t="shared" si="15"/>
        <v>90</v>
      </c>
      <c r="P618" s="46"/>
      <c r="Q618" s="49"/>
      <c r="R618" s="18"/>
      <c r="S618" s="47"/>
      <c r="T618" s="18"/>
      <c r="U618" s="51"/>
    </row>
    <row r="619" spans="15:21" x14ac:dyDescent="0.25">
      <c r="O619" s="84">
        <f t="shared" si="15"/>
        <v>90</v>
      </c>
      <c r="P619" s="46"/>
      <c r="Q619" s="49"/>
      <c r="R619" s="18"/>
      <c r="S619" s="47"/>
      <c r="T619" s="18"/>
      <c r="U619" s="51"/>
    </row>
    <row r="620" spans="15:21" x14ac:dyDescent="0.25">
      <c r="O620" s="84">
        <f t="shared" si="15"/>
        <v>90</v>
      </c>
      <c r="P620" s="46"/>
      <c r="Q620" s="49"/>
      <c r="R620" s="18"/>
      <c r="S620" s="47"/>
      <c r="T620" s="18"/>
      <c r="U620" s="51"/>
    </row>
    <row r="621" spans="15:21" x14ac:dyDescent="0.25">
      <c r="O621" s="84">
        <f t="shared" si="15"/>
        <v>90</v>
      </c>
      <c r="P621" s="46"/>
      <c r="Q621" s="49"/>
      <c r="R621" s="18"/>
      <c r="S621" s="47"/>
      <c r="T621" s="18"/>
      <c r="U621" s="51"/>
    </row>
    <row r="622" spans="15:21" x14ac:dyDescent="0.25">
      <c r="O622" s="84">
        <f t="shared" si="15"/>
        <v>90</v>
      </c>
      <c r="P622" s="46"/>
      <c r="Q622" s="49"/>
      <c r="R622" s="18"/>
      <c r="S622" s="47"/>
      <c r="T622" s="18"/>
      <c r="U622" s="51"/>
    </row>
    <row r="623" spans="15:21" x14ac:dyDescent="0.25">
      <c r="O623" s="84">
        <f t="shared" si="15"/>
        <v>90</v>
      </c>
      <c r="P623" s="46"/>
      <c r="Q623" s="49"/>
      <c r="R623" s="18"/>
      <c r="S623" s="47"/>
      <c r="T623" s="18"/>
      <c r="U623" s="51"/>
    </row>
    <row r="624" spans="15:21" x14ac:dyDescent="0.25">
      <c r="O624" s="84">
        <f t="shared" si="15"/>
        <v>90</v>
      </c>
      <c r="P624" s="46"/>
      <c r="Q624" s="49"/>
      <c r="R624" s="18"/>
      <c r="S624" s="47"/>
      <c r="T624" s="18"/>
      <c r="U624" s="51"/>
    </row>
    <row r="625" spans="15:21" x14ac:dyDescent="0.25">
      <c r="O625" s="84">
        <f t="shared" si="15"/>
        <v>90</v>
      </c>
      <c r="P625" s="46"/>
      <c r="Q625" s="49"/>
      <c r="R625" s="18"/>
      <c r="S625" s="47"/>
      <c r="T625" s="18"/>
      <c r="U625" s="51"/>
    </row>
    <row r="626" spans="15:21" x14ac:dyDescent="0.25">
      <c r="O626" s="84">
        <f t="shared" si="15"/>
        <v>90</v>
      </c>
      <c r="P626" s="46"/>
      <c r="Q626" s="49"/>
      <c r="R626" s="18"/>
      <c r="S626" s="47"/>
      <c r="T626" s="18"/>
      <c r="U626" s="51"/>
    </row>
    <row r="627" spans="15:21" x14ac:dyDescent="0.25">
      <c r="O627" s="84">
        <f t="shared" si="15"/>
        <v>90</v>
      </c>
      <c r="P627" s="46"/>
      <c r="Q627" s="49"/>
      <c r="R627" s="18"/>
      <c r="S627" s="47"/>
      <c r="T627" s="18"/>
      <c r="U627" s="51"/>
    </row>
    <row r="628" spans="15:21" x14ac:dyDescent="0.25">
      <c r="O628" s="84">
        <f t="shared" si="15"/>
        <v>90</v>
      </c>
      <c r="P628" s="46"/>
      <c r="Q628" s="49"/>
      <c r="R628" s="18"/>
      <c r="S628" s="47"/>
      <c r="T628" s="18"/>
      <c r="U628" s="51"/>
    </row>
    <row r="629" spans="15:21" x14ac:dyDescent="0.25">
      <c r="O629" s="84">
        <f t="shared" si="15"/>
        <v>90</v>
      </c>
      <c r="P629" s="46"/>
      <c r="Q629" s="49"/>
      <c r="R629" s="18"/>
      <c r="S629" s="47"/>
      <c r="T629" s="18"/>
      <c r="U629" s="51"/>
    </row>
    <row r="630" spans="15:21" x14ac:dyDescent="0.25">
      <c r="O630" s="84">
        <f t="shared" si="15"/>
        <v>90</v>
      </c>
      <c r="P630" s="46"/>
      <c r="Q630" s="49"/>
      <c r="R630" s="18"/>
      <c r="S630" s="47"/>
      <c r="T630" s="18"/>
      <c r="U630" s="51"/>
    </row>
    <row r="631" spans="15:21" x14ac:dyDescent="0.25">
      <c r="O631" s="84">
        <f t="shared" si="15"/>
        <v>90</v>
      </c>
      <c r="P631" s="46"/>
      <c r="Q631" s="49"/>
      <c r="R631" s="18"/>
      <c r="S631" s="47"/>
      <c r="T631" s="18"/>
      <c r="U631" s="51"/>
    </row>
    <row r="632" spans="15:21" x14ac:dyDescent="0.25">
      <c r="O632" s="84">
        <f t="shared" si="15"/>
        <v>90</v>
      </c>
      <c r="P632" s="46"/>
      <c r="Q632" s="49"/>
      <c r="R632" s="18"/>
      <c r="S632" s="47"/>
      <c r="T632" s="18"/>
      <c r="U632" s="51"/>
    </row>
    <row r="633" spans="15:21" x14ac:dyDescent="0.25">
      <c r="O633" s="84">
        <f t="shared" si="15"/>
        <v>90</v>
      </c>
      <c r="P633" s="46"/>
      <c r="Q633" s="49"/>
      <c r="R633" s="18"/>
      <c r="S633" s="47"/>
      <c r="T633" s="18"/>
      <c r="U633" s="51"/>
    </row>
    <row r="634" spans="15:21" x14ac:dyDescent="0.25">
      <c r="O634" s="84">
        <f t="shared" si="15"/>
        <v>90</v>
      </c>
      <c r="P634" s="46"/>
      <c r="Q634" s="49"/>
      <c r="R634" s="18"/>
      <c r="S634" s="47"/>
      <c r="T634" s="18"/>
      <c r="U634" s="51"/>
    </row>
    <row r="635" spans="15:21" x14ac:dyDescent="0.25">
      <c r="O635" s="84">
        <f t="shared" si="15"/>
        <v>90</v>
      </c>
      <c r="P635" s="46"/>
      <c r="Q635" s="49"/>
      <c r="R635" s="18"/>
      <c r="S635" s="47"/>
      <c r="T635" s="18"/>
      <c r="U635" s="51"/>
    </row>
    <row r="636" spans="15:21" x14ac:dyDescent="0.25">
      <c r="O636" s="84">
        <f t="shared" si="15"/>
        <v>90</v>
      </c>
      <c r="P636" s="46"/>
      <c r="Q636" s="49"/>
      <c r="R636" s="18"/>
      <c r="S636" s="47"/>
      <c r="T636" s="18"/>
      <c r="U636" s="51"/>
    </row>
    <row r="637" spans="15:21" x14ac:dyDescent="0.25">
      <c r="O637" s="84">
        <f t="shared" si="15"/>
        <v>90</v>
      </c>
      <c r="P637" s="46"/>
      <c r="Q637" s="49"/>
      <c r="R637" s="18"/>
      <c r="S637" s="47"/>
      <c r="T637" s="18"/>
      <c r="U637" s="51"/>
    </row>
    <row r="638" spans="15:21" x14ac:dyDescent="0.25">
      <c r="O638" s="84">
        <f t="shared" si="15"/>
        <v>90</v>
      </c>
      <c r="P638" s="46"/>
      <c r="Q638" s="49"/>
      <c r="R638" s="18"/>
      <c r="S638" s="47"/>
      <c r="T638" s="18"/>
      <c r="U638" s="51"/>
    </row>
    <row r="639" spans="15:21" x14ac:dyDescent="0.25">
      <c r="O639" s="84">
        <f t="shared" si="15"/>
        <v>90</v>
      </c>
      <c r="P639" s="46"/>
      <c r="Q639" s="49"/>
      <c r="R639" s="18"/>
      <c r="S639" s="47"/>
      <c r="T639" s="18"/>
      <c r="U639" s="51"/>
    </row>
    <row r="640" spans="15:21" x14ac:dyDescent="0.25">
      <c r="O640" s="84">
        <f t="shared" si="15"/>
        <v>90</v>
      </c>
      <c r="P640" s="46"/>
      <c r="Q640" s="49"/>
      <c r="R640" s="18"/>
      <c r="S640" s="47"/>
      <c r="T640" s="18"/>
      <c r="U640" s="51"/>
    </row>
    <row r="641" spans="15:21" x14ac:dyDescent="0.25">
      <c r="O641" s="84">
        <f t="shared" si="15"/>
        <v>90</v>
      </c>
      <c r="P641" s="46"/>
      <c r="Q641" s="49"/>
      <c r="R641" s="18"/>
      <c r="S641" s="47"/>
      <c r="T641" s="18"/>
      <c r="U641" s="51"/>
    </row>
    <row r="642" spans="15:21" x14ac:dyDescent="0.25">
      <c r="O642" s="84">
        <f t="shared" si="15"/>
        <v>90</v>
      </c>
      <c r="P642" s="46"/>
      <c r="Q642" s="49"/>
      <c r="R642" s="18"/>
      <c r="S642" s="47"/>
      <c r="T642" s="18"/>
      <c r="U642" s="51"/>
    </row>
    <row r="643" spans="15:21" x14ac:dyDescent="0.25">
      <c r="O643" s="84">
        <f t="shared" ref="O643:O706" si="16">90-P643</f>
        <v>90</v>
      </c>
      <c r="P643" s="46"/>
      <c r="Q643" s="49"/>
      <c r="R643" s="18"/>
      <c r="S643" s="47"/>
      <c r="T643" s="18"/>
      <c r="U643" s="51"/>
    </row>
    <row r="644" spans="15:21" x14ac:dyDescent="0.25">
      <c r="O644" s="84">
        <f t="shared" si="16"/>
        <v>90</v>
      </c>
      <c r="P644" s="46"/>
      <c r="Q644" s="49"/>
      <c r="R644" s="18"/>
      <c r="S644" s="47"/>
      <c r="T644" s="18"/>
      <c r="U644" s="51"/>
    </row>
    <row r="645" spans="15:21" x14ac:dyDescent="0.25">
      <c r="O645" s="84">
        <f t="shared" si="16"/>
        <v>90</v>
      </c>
      <c r="P645" s="46"/>
      <c r="Q645" s="49"/>
      <c r="R645" s="18"/>
      <c r="S645" s="47"/>
      <c r="T645" s="18"/>
      <c r="U645" s="51"/>
    </row>
    <row r="646" spans="15:21" x14ac:dyDescent="0.25">
      <c r="O646" s="84">
        <f t="shared" si="16"/>
        <v>90</v>
      </c>
      <c r="P646" s="46"/>
      <c r="Q646" s="49"/>
      <c r="R646" s="18"/>
      <c r="S646" s="47"/>
      <c r="T646" s="18"/>
      <c r="U646" s="51"/>
    </row>
    <row r="647" spans="15:21" x14ac:dyDescent="0.25">
      <c r="O647" s="84">
        <f t="shared" si="16"/>
        <v>90</v>
      </c>
      <c r="P647" s="46"/>
      <c r="Q647" s="49"/>
      <c r="R647" s="18"/>
      <c r="S647" s="47"/>
      <c r="T647" s="18"/>
      <c r="U647" s="51"/>
    </row>
    <row r="648" spans="15:21" x14ac:dyDescent="0.25">
      <c r="O648" s="84">
        <f t="shared" si="16"/>
        <v>90</v>
      </c>
      <c r="P648" s="46"/>
      <c r="Q648" s="49"/>
      <c r="R648" s="18"/>
      <c r="S648" s="47"/>
      <c r="T648" s="18"/>
      <c r="U648" s="51"/>
    </row>
    <row r="649" spans="15:21" x14ac:dyDescent="0.25">
      <c r="O649" s="84">
        <f t="shared" si="16"/>
        <v>90</v>
      </c>
      <c r="P649" s="46"/>
      <c r="Q649" s="49"/>
      <c r="R649" s="18"/>
      <c r="S649" s="47"/>
      <c r="T649" s="18"/>
      <c r="U649" s="51"/>
    </row>
    <row r="650" spans="15:21" x14ac:dyDescent="0.25">
      <c r="O650" s="84">
        <f t="shared" si="16"/>
        <v>90</v>
      </c>
      <c r="P650" s="46"/>
      <c r="Q650" s="49"/>
      <c r="R650" s="18"/>
      <c r="S650" s="47"/>
      <c r="T650" s="18"/>
      <c r="U650" s="51"/>
    </row>
    <row r="651" spans="15:21" x14ac:dyDescent="0.25">
      <c r="O651" s="84">
        <f t="shared" si="16"/>
        <v>90</v>
      </c>
      <c r="P651" s="46"/>
      <c r="Q651" s="49"/>
      <c r="R651" s="18"/>
      <c r="S651" s="47"/>
      <c r="T651" s="18"/>
      <c r="U651" s="51"/>
    </row>
    <row r="652" spans="15:21" x14ac:dyDescent="0.25">
      <c r="O652" s="84">
        <f t="shared" si="16"/>
        <v>90</v>
      </c>
      <c r="P652" s="46"/>
      <c r="Q652" s="49"/>
      <c r="R652" s="18"/>
      <c r="S652" s="47"/>
      <c r="T652" s="18"/>
      <c r="U652" s="51"/>
    </row>
    <row r="653" spans="15:21" x14ac:dyDescent="0.25">
      <c r="O653" s="84">
        <f t="shared" si="16"/>
        <v>90</v>
      </c>
      <c r="P653" s="46"/>
      <c r="Q653" s="49"/>
      <c r="R653" s="18"/>
      <c r="S653" s="47"/>
      <c r="T653" s="18"/>
      <c r="U653" s="51"/>
    </row>
    <row r="654" spans="15:21" x14ac:dyDescent="0.25">
      <c r="O654" s="84">
        <f t="shared" si="16"/>
        <v>90</v>
      </c>
      <c r="P654" s="46"/>
      <c r="Q654" s="49"/>
      <c r="R654" s="18"/>
      <c r="S654" s="47"/>
      <c r="T654" s="18"/>
      <c r="U654" s="51"/>
    </row>
    <row r="655" spans="15:21" x14ac:dyDescent="0.25">
      <c r="O655" s="84">
        <f t="shared" si="16"/>
        <v>90</v>
      </c>
      <c r="P655" s="46"/>
      <c r="Q655" s="49"/>
      <c r="R655" s="18"/>
      <c r="S655" s="47"/>
      <c r="T655" s="18"/>
      <c r="U655" s="51"/>
    </row>
    <row r="656" spans="15:21" x14ac:dyDescent="0.25">
      <c r="O656" s="84">
        <f t="shared" si="16"/>
        <v>90</v>
      </c>
      <c r="P656" s="46"/>
      <c r="Q656" s="49"/>
      <c r="R656" s="18"/>
      <c r="S656" s="47"/>
      <c r="T656" s="18"/>
      <c r="U656" s="51"/>
    </row>
    <row r="657" spans="15:21" x14ac:dyDescent="0.25">
      <c r="O657" s="84">
        <f t="shared" si="16"/>
        <v>90</v>
      </c>
      <c r="P657" s="46"/>
      <c r="Q657" s="49"/>
      <c r="R657" s="18"/>
      <c r="S657" s="47"/>
      <c r="T657" s="18"/>
      <c r="U657" s="51"/>
    </row>
    <row r="658" spans="15:21" x14ac:dyDescent="0.25">
      <c r="O658" s="84">
        <f t="shared" si="16"/>
        <v>90</v>
      </c>
      <c r="P658" s="46"/>
      <c r="Q658" s="49"/>
      <c r="R658" s="18"/>
      <c r="S658" s="47"/>
      <c r="T658" s="18"/>
      <c r="U658" s="51"/>
    </row>
    <row r="659" spans="15:21" x14ac:dyDescent="0.25">
      <c r="O659" s="84">
        <f t="shared" si="16"/>
        <v>90</v>
      </c>
      <c r="P659" s="46"/>
      <c r="Q659" s="49"/>
      <c r="R659" s="18"/>
      <c r="S659" s="47"/>
      <c r="T659" s="18"/>
      <c r="U659" s="51"/>
    </row>
    <row r="660" spans="15:21" x14ac:dyDescent="0.25">
      <c r="O660" s="84">
        <f t="shared" si="16"/>
        <v>90</v>
      </c>
      <c r="P660" s="46"/>
      <c r="Q660" s="49"/>
      <c r="R660" s="18"/>
      <c r="S660" s="47"/>
      <c r="T660" s="18"/>
      <c r="U660" s="51"/>
    </row>
    <row r="661" spans="15:21" x14ac:dyDescent="0.25">
      <c r="O661" s="84">
        <f t="shared" si="16"/>
        <v>90</v>
      </c>
      <c r="P661" s="46"/>
      <c r="Q661" s="49"/>
      <c r="R661" s="18"/>
      <c r="S661" s="47"/>
      <c r="T661" s="18"/>
      <c r="U661" s="51"/>
    </row>
    <row r="662" spans="15:21" x14ac:dyDescent="0.25">
      <c r="O662" s="84">
        <f t="shared" si="16"/>
        <v>90</v>
      </c>
      <c r="P662" s="46"/>
      <c r="Q662" s="49"/>
      <c r="R662" s="18"/>
      <c r="S662" s="47"/>
      <c r="T662" s="18"/>
      <c r="U662" s="51"/>
    </row>
    <row r="663" spans="15:21" x14ac:dyDescent="0.25">
      <c r="O663" s="84">
        <f t="shared" si="16"/>
        <v>90</v>
      </c>
      <c r="P663" s="46"/>
      <c r="Q663" s="49"/>
      <c r="R663" s="18"/>
      <c r="S663" s="47"/>
      <c r="T663" s="18"/>
      <c r="U663" s="51"/>
    </row>
    <row r="664" spans="15:21" x14ac:dyDescent="0.25">
      <c r="O664" s="84">
        <f t="shared" si="16"/>
        <v>90</v>
      </c>
      <c r="P664" s="46"/>
      <c r="Q664" s="49"/>
      <c r="R664" s="18"/>
      <c r="S664" s="47"/>
      <c r="T664" s="18"/>
      <c r="U664" s="51"/>
    </row>
    <row r="665" spans="15:21" x14ac:dyDescent="0.25">
      <c r="O665" s="84">
        <f t="shared" si="16"/>
        <v>90</v>
      </c>
      <c r="P665" s="46"/>
      <c r="Q665" s="49"/>
      <c r="R665" s="18"/>
      <c r="S665" s="47"/>
      <c r="T665" s="18"/>
      <c r="U665" s="51"/>
    </row>
    <row r="666" spans="15:21" x14ac:dyDescent="0.25">
      <c r="O666" s="84">
        <f t="shared" si="16"/>
        <v>90</v>
      </c>
      <c r="P666" s="46"/>
      <c r="Q666" s="49"/>
      <c r="R666" s="18"/>
      <c r="S666" s="47"/>
      <c r="T666" s="18"/>
      <c r="U666" s="51"/>
    </row>
    <row r="667" spans="15:21" x14ac:dyDescent="0.25">
      <c r="O667" s="84">
        <f t="shared" si="16"/>
        <v>90</v>
      </c>
      <c r="P667" s="46"/>
      <c r="Q667" s="49"/>
      <c r="R667" s="18"/>
      <c r="S667" s="47"/>
      <c r="T667" s="18"/>
      <c r="U667" s="51"/>
    </row>
    <row r="668" spans="15:21" x14ac:dyDescent="0.25">
      <c r="O668" s="84">
        <f t="shared" si="16"/>
        <v>90</v>
      </c>
      <c r="P668" s="46"/>
      <c r="Q668" s="49"/>
      <c r="R668" s="18"/>
      <c r="S668" s="47"/>
      <c r="T668" s="18"/>
      <c r="U668" s="51"/>
    </row>
    <row r="669" spans="15:21" x14ac:dyDescent="0.25">
      <c r="O669" s="84">
        <f t="shared" si="16"/>
        <v>90</v>
      </c>
      <c r="P669" s="46"/>
      <c r="Q669" s="49"/>
      <c r="R669" s="18"/>
      <c r="S669" s="47"/>
      <c r="T669" s="18"/>
      <c r="U669" s="51"/>
    </row>
    <row r="670" spans="15:21" x14ac:dyDescent="0.25">
      <c r="O670" s="84">
        <f t="shared" si="16"/>
        <v>90</v>
      </c>
      <c r="P670" s="46"/>
      <c r="Q670" s="49"/>
      <c r="R670" s="18"/>
      <c r="S670" s="47"/>
      <c r="T670" s="18"/>
      <c r="U670" s="51"/>
    </row>
    <row r="671" spans="15:21" x14ac:dyDescent="0.25">
      <c r="O671" s="84">
        <f t="shared" si="16"/>
        <v>90</v>
      </c>
      <c r="P671" s="46"/>
      <c r="Q671" s="49"/>
      <c r="R671" s="18"/>
      <c r="S671" s="47"/>
      <c r="T671" s="18"/>
      <c r="U671" s="51"/>
    </row>
    <row r="672" spans="15:21" x14ac:dyDescent="0.25">
      <c r="O672" s="84">
        <f t="shared" si="16"/>
        <v>90</v>
      </c>
      <c r="P672" s="46"/>
      <c r="Q672" s="49"/>
      <c r="R672" s="18"/>
      <c r="S672" s="47"/>
      <c r="T672" s="18"/>
      <c r="U672" s="51"/>
    </row>
    <row r="673" spans="15:21" x14ac:dyDescent="0.25">
      <c r="O673" s="84">
        <f t="shared" si="16"/>
        <v>90</v>
      </c>
      <c r="P673" s="46"/>
      <c r="Q673" s="49"/>
      <c r="R673" s="18"/>
      <c r="S673" s="47"/>
      <c r="T673" s="18"/>
      <c r="U673" s="51"/>
    </row>
    <row r="674" spans="15:21" x14ac:dyDescent="0.25">
      <c r="O674" s="84">
        <f t="shared" si="16"/>
        <v>90</v>
      </c>
      <c r="P674" s="46"/>
      <c r="Q674" s="49"/>
      <c r="R674" s="18"/>
      <c r="S674" s="47"/>
      <c r="T674" s="18"/>
      <c r="U674" s="51"/>
    </row>
    <row r="675" spans="15:21" x14ac:dyDescent="0.25">
      <c r="O675" s="84">
        <f t="shared" si="16"/>
        <v>90</v>
      </c>
      <c r="P675" s="46"/>
      <c r="Q675" s="49"/>
      <c r="R675" s="18"/>
      <c r="S675" s="47"/>
      <c r="T675" s="18"/>
      <c r="U675" s="51"/>
    </row>
    <row r="676" spans="15:21" x14ac:dyDescent="0.25">
      <c r="O676" s="84">
        <f t="shared" si="16"/>
        <v>90</v>
      </c>
      <c r="P676" s="46"/>
      <c r="Q676" s="49"/>
      <c r="R676" s="18"/>
      <c r="S676" s="47"/>
      <c r="T676" s="18"/>
      <c r="U676" s="51"/>
    </row>
    <row r="677" spans="15:21" x14ac:dyDescent="0.25">
      <c r="O677" s="84">
        <f t="shared" si="16"/>
        <v>90</v>
      </c>
      <c r="P677" s="46"/>
      <c r="Q677" s="49"/>
      <c r="R677" s="18"/>
      <c r="S677" s="47"/>
      <c r="T677" s="18"/>
      <c r="U677" s="51"/>
    </row>
    <row r="678" spans="15:21" x14ac:dyDescent="0.25">
      <c r="O678" s="84">
        <f t="shared" si="16"/>
        <v>90</v>
      </c>
      <c r="P678" s="46"/>
      <c r="Q678" s="49"/>
      <c r="R678" s="18"/>
      <c r="S678" s="47"/>
      <c r="T678" s="18"/>
      <c r="U678" s="51"/>
    </row>
    <row r="679" spans="15:21" x14ac:dyDescent="0.25">
      <c r="O679" s="84">
        <f t="shared" si="16"/>
        <v>90</v>
      </c>
      <c r="P679" s="46"/>
      <c r="Q679" s="49"/>
      <c r="R679" s="18"/>
      <c r="S679" s="47"/>
      <c r="T679" s="18"/>
      <c r="U679" s="51"/>
    </row>
    <row r="680" spans="15:21" x14ac:dyDescent="0.25">
      <c r="O680" s="84">
        <f t="shared" si="16"/>
        <v>90</v>
      </c>
      <c r="P680" s="46"/>
      <c r="Q680" s="49"/>
      <c r="R680" s="18"/>
      <c r="S680" s="47"/>
      <c r="T680" s="18"/>
      <c r="U680" s="51"/>
    </row>
    <row r="681" spans="15:21" x14ac:dyDescent="0.25">
      <c r="O681" s="84">
        <f t="shared" si="16"/>
        <v>90</v>
      </c>
      <c r="P681" s="46"/>
      <c r="Q681" s="49"/>
      <c r="R681" s="18"/>
      <c r="S681" s="47"/>
      <c r="T681" s="18"/>
      <c r="U681" s="51"/>
    </row>
    <row r="682" spans="15:21" x14ac:dyDescent="0.25">
      <c r="O682" s="84">
        <f t="shared" si="16"/>
        <v>90</v>
      </c>
      <c r="P682" s="46"/>
      <c r="Q682" s="49"/>
      <c r="R682" s="18"/>
      <c r="S682" s="47"/>
      <c r="T682" s="18"/>
      <c r="U682" s="51"/>
    </row>
    <row r="683" spans="15:21" x14ac:dyDescent="0.25">
      <c r="O683" s="84">
        <f t="shared" si="16"/>
        <v>90</v>
      </c>
      <c r="P683" s="46"/>
      <c r="Q683" s="49"/>
      <c r="R683" s="18"/>
      <c r="S683" s="47"/>
      <c r="T683" s="18"/>
      <c r="U683" s="51"/>
    </row>
    <row r="684" spans="15:21" x14ac:dyDescent="0.25">
      <c r="O684" s="84">
        <f t="shared" si="16"/>
        <v>90</v>
      </c>
      <c r="P684" s="46"/>
      <c r="Q684" s="49"/>
      <c r="R684" s="18"/>
      <c r="S684" s="47"/>
      <c r="T684" s="18"/>
      <c r="U684" s="51"/>
    </row>
    <row r="685" spans="15:21" x14ac:dyDescent="0.25">
      <c r="O685" s="84">
        <f t="shared" si="16"/>
        <v>90</v>
      </c>
      <c r="P685" s="46"/>
      <c r="Q685" s="49"/>
      <c r="R685" s="18"/>
      <c r="S685" s="47"/>
      <c r="T685" s="18"/>
      <c r="U685" s="51"/>
    </row>
    <row r="686" spans="15:21" x14ac:dyDescent="0.25">
      <c r="O686" s="84">
        <f t="shared" si="16"/>
        <v>90</v>
      </c>
      <c r="P686" s="46"/>
      <c r="Q686" s="49"/>
      <c r="R686" s="18"/>
      <c r="S686" s="47"/>
      <c r="T686" s="18"/>
      <c r="U686" s="51"/>
    </row>
    <row r="687" spans="15:21" x14ac:dyDescent="0.25">
      <c r="O687" s="84">
        <f t="shared" si="16"/>
        <v>90</v>
      </c>
      <c r="P687" s="46"/>
      <c r="Q687" s="49"/>
      <c r="R687" s="18"/>
      <c r="S687" s="47"/>
      <c r="T687" s="18"/>
      <c r="U687" s="51"/>
    </row>
    <row r="688" spans="15:21" x14ac:dyDescent="0.25">
      <c r="O688" s="84">
        <f t="shared" si="16"/>
        <v>90</v>
      </c>
      <c r="P688" s="46"/>
      <c r="Q688" s="49"/>
      <c r="R688" s="18"/>
      <c r="S688" s="47"/>
      <c r="T688" s="18"/>
      <c r="U688" s="51"/>
    </row>
    <row r="689" spans="15:21" x14ac:dyDescent="0.25">
      <c r="O689" s="84">
        <f t="shared" si="16"/>
        <v>90</v>
      </c>
      <c r="P689" s="46"/>
      <c r="Q689" s="49"/>
      <c r="R689" s="18"/>
      <c r="S689" s="47"/>
      <c r="T689" s="18"/>
      <c r="U689" s="51"/>
    </row>
    <row r="690" spans="15:21" x14ac:dyDescent="0.25">
      <c r="O690" s="84">
        <f t="shared" si="16"/>
        <v>90</v>
      </c>
      <c r="P690" s="46"/>
      <c r="Q690" s="49"/>
      <c r="R690" s="18"/>
      <c r="S690" s="47"/>
      <c r="T690" s="18"/>
      <c r="U690" s="51"/>
    </row>
    <row r="691" spans="15:21" x14ac:dyDescent="0.25">
      <c r="O691" s="84">
        <f t="shared" si="16"/>
        <v>90</v>
      </c>
      <c r="P691" s="46"/>
      <c r="Q691" s="49"/>
      <c r="R691" s="18"/>
      <c r="S691" s="47"/>
      <c r="T691" s="18"/>
      <c r="U691" s="51"/>
    </row>
    <row r="692" spans="15:21" x14ac:dyDescent="0.25">
      <c r="O692" s="84">
        <f t="shared" si="16"/>
        <v>90</v>
      </c>
      <c r="P692" s="46"/>
      <c r="Q692" s="49"/>
      <c r="R692" s="18"/>
      <c r="S692" s="47"/>
      <c r="T692" s="18"/>
      <c r="U692" s="51"/>
    </row>
    <row r="693" spans="15:21" x14ac:dyDescent="0.25">
      <c r="O693" s="84">
        <f t="shared" si="16"/>
        <v>90</v>
      </c>
      <c r="P693" s="46"/>
      <c r="Q693" s="49"/>
      <c r="R693" s="18"/>
      <c r="S693" s="47"/>
      <c r="T693" s="18"/>
      <c r="U693" s="51"/>
    </row>
    <row r="694" spans="15:21" x14ac:dyDescent="0.25">
      <c r="O694" s="84">
        <f t="shared" si="16"/>
        <v>90</v>
      </c>
      <c r="P694" s="46"/>
      <c r="Q694" s="49"/>
      <c r="R694" s="18"/>
      <c r="S694" s="47"/>
      <c r="T694" s="18"/>
      <c r="U694" s="51"/>
    </row>
    <row r="695" spans="15:21" x14ac:dyDescent="0.25">
      <c r="O695" s="84">
        <f t="shared" si="16"/>
        <v>90</v>
      </c>
      <c r="P695" s="46"/>
      <c r="Q695" s="49"/>
      <c r="R695" s="18"/>
      <c r="S695" s="47"/>
      <c r="T695" s="18"/>
      <c r="U695" s="51"/>
    </row>
    <row r="696" spans="15:21" x14ac:dyDescent="0.25">
      <c r="O696" s="84">
        <f t="shared" si="16"/>
        <v>90</v>
      </c>
      <c r="P696" s="46"/>
      <c r="Q696" s="49"/>
      <c r="R696" s="18"/>
      <c r="S696" s="47"/>
      <c r="T696" s="18"/>
      <c r="U696" s="51"/>
    </row>
    <row r="697" spans="15:21" x14ac:dyDescent="0.25">
      <c r="O697" s="84">
        <f t="shared" si="16"/>
        <v>90</v>
      </c>
      <c r="P697" s="46"/>
      <c r="Q697" s="49"/>
      <c r="R697" s="18"/>
      <c r="S697" s="47"/>
      <c r="T697" s="18"/>
      <c r="U697" s="51"/>
    </row>
    <row r="698" spans="15:21" x14ac:dyDescent="0.25">
      <c r="O698" s="84">
        <f t="shared" si="16"/>
        <v>90</v>
      </c>
      <c r="P698" s="46"/>
      <c r="Q698" s="49"/>
      <c r="R698" s="18"/>
      <c r="S698" s="47"/>
      <c r="T698" s="18"/>
      <c r="U698" s="51"/>
    </row>
    <row r="699" spans="15:21" x14ac:dyDescent="0.25">
      <c r="O699" s="84">
        <f t="shared" si="16"/>
        <v>90</v>
      </c>
      <c r="P699" s="46"/>
      <c r="Q699" s="49"/>
      <c r="R699" s="18"/>
      <c r="S699" s="47"/>
      <c r="T699" s="18"/>
      <c r="U699" s="51"/>
    </row>
    <row r="700" spans="15:21" x14ac:dyDescent="0.25">
      <c r="O700" s="84">
        <f t="shared" si="16"/>
        <v>90</v>
      </c>
      <c r="P700" s="46"/>
      <c r="Q700" s="49"/>
      <c r="R700" s="18"/>
      <c r="S700" s="47"/>
      <c r="T700" s="18"/>
      <c r="U700" s="51"/>
    </row>
    <row r="701" spans="15:21" x14ac:dyDescent="0.25">
      <c r="O701" s="84">
        <f t="shared" si="16"/>
        <v>90</v>
      </c>
      <c r="P701" s="46"/>
      <c r="Q701" s="49"/>
      <c r="R701" s="18"/>
      <c r="S701" s="47"/>
      <c r="T701" s="18"/>
      <c r="U701" s="51"/>
    </row>
    <row r="702" spans="15:21" x14ac:dyDescent="0.25">
      <c r="O702" s="84">
        <f t="shared" si="16"/>
        <v>90</v>
      </c>
      <c r="P702" s="46"/>
      <c r="Q702" s="49"/>
      <c r="R702" s="18"/>
      <c r="S702" s="47"/>
      <c r="T702" s="18"/>
      <c r="U702" s="51"/>
    </row>
    <row r="703" spans="15:21" x14ac:dyDescent="0.25">
      <c r="O703" s="84">
        <f t="shared" si="16"/>
        <v>90</v>
      </c>
      <c r="P703" s="46"/>
      <c r="Q703" s="49"/>
      <c r="R703" s="18"/>
      <c r="S703" s="47"/>
      <c r="T703" s="18"/>
      <c r="U703" s="51"/>
    </row>
    <row r="704" spans="15:21" x14ac:dyDescent="0.25">
      <c r="O704" s="84">
        <f t="shared" si="16"/>
        <v>90</v>
      </c>
      <c r="P704" s="46"/>
      <c r="Q704" s="49"/>
      <c r="R704" s="18"/>
      <c r="S704" s="47"/>
      <c r="T704" s="18"/>
      <c r="U704" s="51"/>
    </row>
    <row r="705" spans="15:21" x14ac:dyDescent="0.25">
      <c r="O705" s="84">
        <f t="shared" si="16"/>
        <v>90</v>
      </c>
      <c r="P705" s="46"/>
      <c r="Q705" s="49"/>
      <c r="R705" s="18"/>
      <c r="S705" s="47"/>
      <c r="T705" s="18"/>
      <c r="U705" s="51"/>
    </row>
    <row r="706" spans="15:21" x14ac:dyDescent="0.25">
      <c r="O706" s="84">
        <f t="shared" si="16"/>
        <v>90</v>
      </c>
      <c r="P706" s="46"/>
      <c r="Q706" s="49"/>
      <c r="R706" s="18"/>
      <c r="S706" s="47"/>
      <c r="T706" s="18"/>
      <c r="U706" s="51"/>
    </row>
    <row r="707" spans="15:21" x14ac:dyDescent="0.25">
      <c r="O707" s="84">
        <f t="shared" ref="O707:O770" si="17">90-P707</f>
        <v>90</v>
      </c>
      <c r="P707" s="46"/>
      <c r="Q707" s="49"/>
      <c r="R707" s="18"/>
      <c r="S707" s="47"/>
      <c r="T707" s="18"/>
      <c r="U707" s="51"/>
    </row>
    <row r="708" spans="15:21" x14ac:dyDescent="0.25">
      <c r="O708" s="84">
        <f t="shared" si="17"/>
        <v>90</v>
      </c>
      <c r="P708" s="46"/>
      <c r="Q708" s="49"/>
      <c r="R708" s="18"/>
      <c r="S708" s="47"/>
      <c r="T708" s="18"/>
      <c r="U708" s="51"/>
    </row>
    <row r="709" spans="15:21" x14ac:dyDescent="0.25">
      <c r="O709" s="84">
        <f t="shared" si="17"/>
        <v>90</v>
      </c>
      <c r="P709" s="46"/>
      <c r="Q709" s="49"/>
      <c r="R709" s="18"/>
      <c r="S709" s="47"/>
      <c r="T709" s="18"/>
      <c r="U709" s="51"/>
    </row>
    <row r="710" spans="15:21" x14ac:dyDescent="0.25">
      <c r="O710" s="84">
        <f t="shared" si="17"/>
        <v>90</v>
      </c>
      <c r="P710" s="46"/>
      <c r="Q710" s="49"/>
      <c r="R710" s="18"/>
      <c r="S710" s="47"/>
      <c r="T710" s="18"/>
      <c r="U710" s="51"/>
    </row>
    <row r="711" spans="15:21" x14ac:dyDescent="0.25">
      <c r="O711" s="84">
        <f t="shared" si="17"/>
        <v>90</v>
      </c>
      <c r="P711" s="46"/>
      <c r="Q711" s="49"/>
      <c r="R711" s="18"/>
      <c r="S711" s="47"/>
      <c r="T711" s="18"/>
      <c r="U711" s="51"/>
    </row>
    <row r="712" spans="15:21" x14ac:dyDescent="0.25">
      <c r="O712" s="84">
        <f t="shared" si="17"/>
        <v>90</v>
      </c>
      <c r="P712" s="46"/>
      <c r="Q712" s="49"/>
      <c r="R712" s="18"/>
      <c r="S712" s="47"/>
      <c r="T712" s="18"/>
      <c r="U712" s="51"/>
    </row>
    <row r="713" spans="15:21" x14ac:dyDescent="0.25">
      <c r="O713" s="84">
        <f t="shared" si="17"/>
        <v>90</v>
      </c>
      <c r="P713" s="46"/>
      <c r="Q713" s="49"/>
      <c r="R713" s="18"/>
      <c r="S713" s="47"/>
      <c r="T713" s="18"/>
      <c r="U713" s="51"/>
    </row>
    <row r="714" spans="15:21" x14ac:dyDescent="0.25">
      <c r="O714" s="84">
        <f t="shared" si="17"/>
        <v>90</v>
      </c>
      <c r="P714" s="46"/>
      <c r="Q714" s="49"/>
      <c r="R714" s="18"/>
      <c r="S714" s="47"/>
      <c r="T714" s="18"/>
      <c r="U714" s="51"/>
    </row>
    <row r="715" spans="15:21" x14ac:dyDescent="0.25">
      <c r="O715" s="84">
        <f t="shared" si="17"/>
        <v>90</v>
      </c>
      <c r="P715" s="46"/>
      <c r="Q715" s="49"/>
      <c r="R715" s="18"/>
      <c r="S715" s="47"/>
      <c r="T715" s="18"/>
      <c r="U715" s="51"/>
    </row>
    <row r="716" spans="15:21" x14ac:dyDescent="0.25">
      <c r="O716" s="84">
        <f t="shared" si="17"/>
        <v>90</v>
      </c>
      <c r="P716" s="46"/>
      <c r="Q716" s="49"/>
      <c r="R716" s="18"/>
      <c r="S716" s="47"/>
      <c r="T716" s="18"/>
      <c r="U716" s="51"/>
    </row>
    <row r="717" spans="15:21" x14ac:dyDescent="0.25">
      <c r="O717" s="84">
        <f t="shared" si="17"/>
        <v>90</v>
      </c>
      <c r="P717" s="46"/>
      <c r="Q717" s="49"/>
      <c r="R717" s="18"/>
      <c r="S717" s="47"/>
      <c r="T717" s="18"/>
      <c r="U717" s="51"/>
    </row>
    <row r="718" spans="15:21" x14ac:dyDescent="0.25">
      <c r="O718" s="84">
        <f t="shared" si="17"/>
        <v>90</v>
      </c>
      <c r="P718" s="46"/>
      <c r="Q718" s="49"/>
      <c r="R718" s="18"/>
      <c r="S718" s="47"/>
      <c r="T718" s="18"/>
      <c r="U718" s="51"/>
    </row>
    <row r="719" spans="15:21" x14ac:dyDescent="0.25">
      <c r="O719" s="84">
        <f t="shared" si="17"/>
        <v>90</v>
      </c>
      <c r="P719" s="46"/>
      <c r="Q719" s="49"/>
      <c r="R719" s="18"/>
      <c r="S719" s="47"/>
      <c r="T719" s="18"/>
      <c r="U719" s="51"/>
    </row>
    <row r="720" spans="15:21" x14ac:dyDescent="0.25">
      <c r="O720" s="84">
        <f t="shared" si="17"/>
        <v>90</v>
      </c>
      <c r="P720" s="46"/>
      <c r="Q720" s="49"/>
      <c r="R720" s="18"/>
      <c r="S720" s="47"/>
      <c r="T720" s="18"/>
      <c r="U720" s="51"/>
    </row>
    <row r="721" spans="15:21" x14ac:dyDescent="0.25">
      <c r="O721" s="84">
        <f t="shared" si="17"/>
        <v>90</v>
      </c>
      <c r="P721" s="46"/>
      <c r="Q721" s="49"/>
      <c r="R721" s="18"/>
      <c r="S721" s="47"/>
      <c r="T721" s="18"/>
      <c r="U721" s="51"/>
    </row>
    <row r="722" spans="15:21" x14ac:dyDescent="0.25">
      <c r="O722" s="84">
        <f t="shared" si="17"/>
        <v>90</v>
      </c>
      <c r="P722" s="46"/>
      <c r="Q722" s="49"/>
      <c r="R722" s="18"/>
      <c r="S722" s="47"/>
      <c r="T722" s="18"/>
      <c r="U722" s="51"/>
    </row>
    <row r="723" spans="15:21" x14ac:dyDescent="0.25">
      <c r="O723" s="84">
        <f t="shared" si="17"/>
        <v>90</v>
      </c>
      <c r="P723" s="46"/>
      <c r="Q723" s="49"/>
      <c r="R723" s="18"/>
      <c r="S723" s="47"/>
      <c r="T723" s="18"/>
      <c r="U723" s="51"/>
    </row>
    <row r="724" spans="15:21" x14ac:dyDescent="0.25">
      <c r="O724" s="84">
        <f t="shared" si="17"/>
        <v>90</v>
      </c>
      <c r="P724" s="46"/>
      <c r="Q724" s="49"/>
      <c r="R724" s="18"/>
      <c r="S724" s="47"/>
      <c r="T724" s="18"/>
      <c r="U724" s="51"/>
    </row>
    <row r="725" spans="15:21" x14ac:dyDescent="0.25">
      <c r="O725" s="84">
        <f t="shared" si="17"/>
        <v>90</v>
      </c>
      <c r="P725" s="46"/>
      <c r="Q725" s="49"/>
      <c r="R725" s="18"/>
      <c r="S725" s="47"/>
      <c r="T725" s="18"/>
      <c r="U725" s="51"/>
    </row>
    <row r="726" spans="15:21" x14ac:dyDescent="0.25">
      <c r="O726" s="84">
        <f t="shared" si="17"/>
        <v>90</v>
      </c>
      <c r="P726" s="46"/>
      <c r="Q726" s="49"/>
      <c r="R726" s="18"/>
      <c r="S726" s="47"/>
      <c r="T726" s="18"/>
      <c r="U726" s="51"/>
    </row>
    <row r="727" spans="15:21" x14ac:dyDescent="0.25">
      <c r="O727" s="84">
        <f t="shared" si="17"/>
        <v>90</v>
      </c>
      <c r="P727" s="46"/>
      <c r="Q727" s="49"/>
      <c r="R727" s="18"/>
      <c r="S727" s="47"/>
      <c r="T727" s="18"/>
      <c r="U727" s="51"/>
    </row>
    <row r="728" spans="15:21" x14ac:dyDescent="0.25">
      <c r="O728" s="84">
        <f t="shared" si="17"/>
        <v>90</v>
      </c>
      <c r="P728" s="46"/>
      <c r="Q728" s="49"/>
      <c r="R728" s="18"/>
      <c r="S728" s="47"/>
      <c r="T728" s="18"/>
      <c r="U728" s="51"/>
    </row>
    <row r="729" spans="15:21" x14ac:dyDescent="0.25">
      <c r="O729" s="84">
        <f t="shared" si="17"/>
        <v>90</v>
      </c>
      <c r="P729" s="46"/>
      <c r="Q729" s="49"/>
      <c r="R729" s="18"/>
      <c r="S729" s="47"/>
      <c r="T729" s="18"/>
      <c r="U729" s="51"/>
    </row>
    <row r="730" spans="15:21" x14ac:dyDescent="0.25">
      <c r="O730" s="84">
        <f t="shared" si="17"/>
        <v>90</v>
      </c>
      <c r="P730" s="46"/>
      <c r="Q730" s="49"/>
      <c r="R730" s="18"/>
      <c r="S730" s="47"/>
      <c r="T730" s="18"/>
      <c r="U730" s="51"/>
    </row>
    <row r="731" spans="15:21" x14ac:dyDescent="0.25">
      <c r="O731" s="84">
        <f t="shared" si="17"/>
        <v>90</v>
      </c>
      <c r="P731" s="46"/>
      <c r="Q731" s="49"/>
      <c r="R731" s="18"/>
      <c r="S731" s="47"/>
      <c r="T731" s="18"/>
      <c r="U731" s="51"/>
    </row>
    <row r="732" spans="15:21" x14ac:dyDescent="0.25">
      <c r="O732" s="84">
        <f t="shared" si="17"/>
        <v>90</v>
      </c>
      <c r="P732" s="46"/>
      <c r="Q732" s="49"/>
      <c r="R732" s="18"/>
      <c r="S732" s="47"/>
      <c r="T732" s="18"/>
      <c r="U732" s="51"/>
    </row>
    <row r="733" spans="15:21" x14ac:dyDescent="0.25">
      <c r="O733" s="84">
        <f t="shared" si="17"/>
        <v>90</v>
      </c>
      <c r="P733" s="46"/>
      <c r="Q733" s="49"/>
      <c r="R733" s="18"/>
      <c r="S733" s="47"/>
      <c r="T733" s="18"/>
      <c r="U733" s="51"/>
    </row>
    <row r="734" spans="15:21" x14ac:dyDescent="0.25">
      <c r="O734" s="84">
        <f t="shared" si="17"/>
        <v>90</v>
      </c>
      <c r="P734" s="46"/>
      <c r="Q734" s="49"/>
      <c r="R734" s="18"/>
      <c r="S734" s="47"/>
      <c r="T734" s="18"/>
      <c r="U734" s="51"/>
    </row>
    <row r="735" spans="15:21" x14ac:dyDescent="0.25">
      <c r="O735" s="84">
        <f t="shared" si="17"/>
        <v>90</v>
      </c>
      <c r="P735" s="46"/>
      <c r="Q735" s="49"/>
      <c r="R735" s="18"/>
      <c r="S735" s="47"/>
      <c r="T735" s="18"/>
      <c r="U735" s="51"/>
    </row>
    <row r="736" spans="15:21" x14ac:dyDescent="0.25">
      <c r="O736" s="84">
        <f t="shared" si="17"/>
        <v>90</v>
      </c>
      <c r="P736" s="46"/>
      <c r="Q736" s="49"/>
      <c r="R736" s="18"/>
      <c r="S736" s="47"/>
      <c r="T736" s="18"/>
      <c r="U736" s="51"/>
    </row>
    <row r="737" spans="15:21" x14ac:dyDescent="0.25">
      <c r="O737" s="84">
        <f t="shared" si="17"/>
        <v>90</v>
      </c>
      <c r="P737" s="46"/>
      <c r="Q737" s="49"/>
      <c r="R737" s="18"/>
      <c r="S737" s="47"/>
      <c r="T737" s="18"/>
      <c r="U737" s="51"/>
    </row>
    <row r="738" spans="15:21" x14ac:dyDescent="0.25">
      <c r="O738" s="84">
        <f t="shared" si="17"/>
        <v>90</v>
      </c>
      <c r="P738" s="46"/>
      <c r="Q738" s="49"/>
      <c r="R738" s="18"/>
      <c r="S738" s="47"/>
      <c r="T738" s="18"/>
      <c r="U738" s="51"/>
    </row>
    <row r="739" spans="15:21" x14ac:dyDescent="0.25">
      <c r="O739" s="84">
        <f t="shared" si="17"/>
        <v>90</v>
      </c>
      <c r="P739" s="46"/>
      <c r="Q739" s="49"/>
      <c r="R739" s="18"/>
      <c r="S739" s="47"/>
      <c r="T739" s="18"/>
      <c r="U739" s="51"/>
    </row>
    <row r="740" spans="15:21" x14ac:dyDescent="0.25">
      <c r="O740" s="84">
        <f t="shared" si="17"/>
        <v>90</v>
      </c>
      <c r="P740" s="46"/>
      <c r="Q740" s="49"/>
      <c r="R740" s="18"/>
      <c r="S740" s="47"/>
      <c r="T740" s="18"/>
      <c r="U740" s="51"/>
    </row>
    <row r="741" spans="15:21" x14ac:dyDescent="0.25">
      <c r="O741" s="84">
        <f t="shared" si="17"/>
        <v>90</v>
      </c>
      <c r="P741" s="46"/>
      <c r="Q741" s="49"/>
      <c r="R741" s="18"/>
      <c r="S741" s="47"/>
      <c r="T741" s="18"/>
      <c r="U741" s="51"/>
    </row>
    <row r="742" spans="15:21" x14ac:dyDescent="0.25">
      <c r="O742" s="84">
        <f t="shared" si="17"/>
        <v>90</v>
      </c>
      <c r="P742" s="46"/>
      <c r="Q742" s="49"/>
      <c r="R742" s="18"/>
      <c r="S742" s="47"/>
      <c r="T742" s="18"/>
      <c r="U742" s="51"/>
    </row>
    <row r="743" spans="15:21" x14ac:dyDescent="0.25">
      <c r="O743" s="84">
        <f t="shared" si="17"/>
        <v>90</v>
      </c>
      <c r="P743" s="46"/>
      <c r="Q743" s="49"/>
      <c r="R743" s="18"/>
      <c r="S743" s="47"/>
      <c r="T743" s="18"/>
      <c r="U743" s="51"/>
    </row>
    <row r="744" spans="15:21" x14ac:dyDescent="0.25">
      <c r="O744" s="84">
        <f t="shared" si="17"/>
        <v>90</v>
      </c>
      <c r="P744" s="46"/>
      <c r="Q744" s="49"/>
      <c r="R744" s="18"/>
      <c r="S744" s="47"/>
      <c r="T744" s="18"/>
      <c r="U744" s="51"/>
    </row>
    <row r="745" spans="15:21" x14ac:dyDescent="0.25">
      <c r="O745" s="84">
        <f t="shared" si="17"/>
        <v>90</v>
      </c>
      <c r="P745" s="46"/>
      <c r="Q745" s="49"/>
      <c r="R745" s="18"/>
      <c r="S745" s="47"/>
      <c r="T745" s="18"/>
      <c r="U745" s="51"/>
    </row>
    <row r="746" spans="15:21" x14ac:dyDescent="0.25">
      <c r="O746" s="84">
        <f t="shared" si="17"/>
        <v>90</v>
      </c>
      <c r="P746" s="46"/>
      <c r="Q746" s="49"/>
      <c r="R746" s="18"/>
      <c r="S746" s="47"/>
      <c r="T746" s="18"/>
      <c r="U746" s="51"/>
    </row>
    <row r="747" spans="15:21" x14ac:dyDescent="0.25">
      <c r="O747" s="84">
        <f t="shared" si="17"/>
        <v>90</v>
      </c>
      <c r="P747" s="46"/>
      <c r="Q747" s="49"/>
      <c r="R747" s="18"/>
      <c r="S747" s="47"/>
      <c r="T747" s="18"/>
      <c r="U747" s="51"/>
    </row>
    <row r="748" spans="15:21" x14ac:dyDescent="0.25">
      <c r="O748" s="84">
        <f t="shared" si="17"/>
        <v>90</v>
      </c>
      <c r="P748" s="46"/>
      <c r="Q748" s="49"/>
      <c r="R748" s="18"/>
      <c r="S748" s="47"/>
      <c r="T748" s="18"/>
      <c r="U748" s="51"/>
    </row>
    <row r="749" spans="15:21" x14ac:dyDescent="0.25">
      <c r="O749" s="84">
        <f t="shared" si="17"/>
        <v>90</v>
      </c>
      <c r="P749" s="46"/>
      <c r="Q749" s="49"/>
      <c r="R749" s="18"/>
      <c r="S749" s="47"/>
      <c r="T749" s="18"/>
      <c r="U749" s="51"/>
    </row>
    <row r="750" spans="15:21" x14ac:dyDescent="0.25">
      <c r="O750" s="84">
        <f t="shared" si="17"/>
        <v>90</v>
      </c>
      <c r="P750" s="46"/>
      <c r="Q750" s="49"/>
      <c r="R750" s="18"/>
      <c r="S750" s="47"/>
      <c r="T750" s="18"/>
      <c r="U750" s="51"/>
    </row>
    <row r="751" spans="15:21" x14ac:dyDescent="0.25">
      <c r="O751" s="84">
        <f t="shared" si="17"/>
        <v>90</v>
      </c>
      <c r="P751" s="46"/>
      <c r="Q751" s="49"/>
      <c r="R751" s="18"/>
      <c r="S751" s="47"/>
      <c r="T751" s="18"/>
      <c r="U751" s="51"/>
    </row>
    <row r="752" spans="15:21" x14ac:dyDescent="0.25">
      <c r="O752" s="84">
        <f t="shared" si="17"/>
        <v>90</v>
      </c>
      <c r="P752" s="46"/>
      <c r="Q752" s="49"/>
      <c r="R752" s="18"/>
      <c r="S752" s="47"/>
      <c r="T752" s="18"/>
      <c r="U752" s="51"/>
    </row>
    <row r="753" spans="15:21" x14ac:dyDescent="0.25">
      <c r="O753" s="84">
        <f t="shared" si="17"/>
        <v>90</v>
      </c>
      <c r="P753" s="46"/>
      <c r="Q753" s="49"/>
      <c r="R753" s="18"/>
      <c r="S753" s="47"/>
      <c r="T753" s="18"/>
      <c r="U753" s="51"/>
    </row>
    <row r="754" spans="15:21" x14ac:dyDescent="0.25">
      <c r="O754" s="84">
        <f t="shared" si="17"/>
        <v>90</v>
      </c>
      <c r="P754" s="46"/>
      <c r="Q754" s="49"/>
      <c r="R754" s="18"/>
      <c r="S754" s="47"/>
      <c r="T754" s="18"/>
      <c r="U754" s="51"/>
    </row>
    <row r="755" spans="15:21" x14ac:dyDescent="0.25">
      <c r="O755" s="84">
        <f t="shared" si="17"/>
        <v>90</v>
      </c>
      <c r="P755" s="46"/>
      <c r="Q755" s="49"/>
      <c r="R755" s="18"/>
      <c r="S755" s="47"/>
      <c r="T755" s="18"/>
      <c r="U755" s="51"/>
    </row>
    <row r="756" spans="15:21" x14ac:dyDescent="0.25">
      <c r="O756" s="84">
        <f t="shared" si="17"/>
        <v>90</v>
      </c>
      <c r="P756" s="46"/>
      <c r="Q756" s="49"/>
      <c r="R756" s="18"/>
      <c r="S756" s="47"/>
      <c r="T756" s="18"/>
      <c r="U756" s="51"/>
    </row>
    <row r="757" spans="15:21" x14ac:dyDescent="0.25">
      <c r="O757" s="84">
        <f t="shared" si="17"/>
        <v>90</v>
      </c>
      <c r="P757" s="46"/>
      <c r="Q757" s="49"/>
      <c r="R757" s="18"/>
      <c r="S757" s="47"/>
      <c r="T757" s="18"/>
      <c r="U757" s="51"/>
    </row>
    <row r="758" spans="15:21" x14ac:dyDescent="0.25">
      <c r="O758" s="84">
        <f t="shared" si="17"/>
        <v>90</v>
      </c>
      <c r="P758" s="46"/>
      <c r="Q758" s="49"/>
      <c r="R758" s="18"/>
      <c r="S758" s="47"/>
      <c r="T758" s="18"/>
      <c r="U758" s="51"/>
    </row>
    <row r="759" spans="15:21" x14ac:dyDescent="0.25">
      <c r="O759" s="84">
        <f t="shared" si="17"/>
        <v>90</v>
      </c>
      <c r="P759" s="46"/>
      <c r="Q759" s="49"/>
      <c r="R759" s="18"/>
      <c r="S759" s="47"/>
      <c r="T759" s="18"/>
      <c r="U759" s="51"/>
    </row>
    <row r="760" spans="15:21" x14ac:dyDescent="0.25">
      <c r="O760" s="84">
        <f t="shared" si="17"/>
        <v>90</v>
      </c>
      <c r="P760" s="46"/>
      <c r="Q760" s="49"/>
      <c r="R760" s="18"/>
      <c r="S760" s="47"/>
      <c r="T760" s="18"/>
      <c r="U760" s="51"/>
    </row>
    <row r="761" spans="15:21" x14ac:dyDescent="0.25">
      <c r="O761" s="84">
        <f t="shared" si="17"/>
        <v>90</v>
      </c>
      <c r="P761" s="46"/>
      <c r="Q761" s="49"/>
      <c r="R761" s="18"/>
      <c r="S761" s="47"/>
      <c r="T761" s="18"/>
      <c r="U761" s="51"/>
    </row>
    <row r="762" spans="15:21" x14ac:dyDescent="0.25">
      <c r="O762" s="84">
        <f t="shared" si="17"/>
        <v>90</v>
      </c>
      <c r="P762" s="46"/>
      <c r="Q762" s="49"/>
      <c r="R762" s="18"/>
      <c r="S762" s="47"/>
      <c r="T762" s="18"/>
      <c r="U762" s="51"/>
    </row>
    <row r="763" spans="15:21" x14ac:dyDescent="0.25">
      <c r="O763" s="84">
        <f t="shared" si="17"/>
        <v>90</v>
      </c>
      <c r="P763" s="46"/>
      <c r="Q763" s="49"/>
      <c r="R763" s="18"/>
      <c r="S763" s="47"/>
      <c r="T763" s="18"/>
      <c r="U763" s="51"/>
    </row>
    <row r="764" spans="15:21" x14ac:dyDescent="0.25">
      <c r="O764" s="84">
        <f t="shared" si="17"/>
        <v>90</v>
      </c>
      <c r="P764" s="46"/>
      <c r="Q764" s="49"/>
      <c r="R764" s="18"/>
      <c r="S764" s="47"/>
      <c r="T764" s="18"/>
      <c r="U764" s="51"/>
    </row>
    <row r="765" spans="15:21" x14ac:dyDescent="0.25">
      <c r="O765" s="84">
        <f t="shared" si="17"/>
        <v>90</v>
      </c>
      <c r="P765" s="46"/>
      <c r="Q765" s="49"/>
      <c r="R765" s="18"/>
      <c r="S765" s="47"/>
      <c r="T765" s="18"/>
      <c r="U765" s="51"/>
    </row>
    <row r="766" spans="15:21" x14ac:dyDescent="0.25">
      <c r="O766" s="84">
        <f t="shared" si="17"/>
        <v>90</v>
      </c>
      <c r="P766" s="46"/>
      <c r="Q766" s="49"/>
      <c r="R766" s="18"/>
      <c r="S766" s="47"/>
      <c r="T766" s="18"/>
      <c r="U766" s="51"/>
    </row>
    <row r="767" spans="15:21" x14ac:dyDescent="0.25">
      <c r="O767" s="84">
        <f t="shared" si="17"/>
        <v>90</v>
      </c>
      <c r="P767" s="46"/>
      <c r="Q767" s="49"/>
      <c r="R767" s="18"/>
      <c r="S767" s="47"/>
      <c r="T767" s="18"/>
      <c r="U767" s="51"/>
    </row>
    <row r="768" spans="15:21" x14ac:dyDescent="0.25">
      <c r="O768" s="84">
        <f t="shared" si="17"/>
        <v>90</v>
      </c>
      <c r="P768" s="46"/>
      <c r="Q768" s="49"/>
      <c r="R768" s="18"/>
      <c r="S768" s="47"/>
      <c r="T768" s="18"/>
      <c r="U768" s="51"/>
    </row>
    <row r="769" spans="15:21" x14ac:dyDescent="0.25">
      <c r="O769" s="84">
        <f t="shared" si="17"/>
        <v>90</v>
      </c>
      <c r="P769" s="46"/>
      <c r="Q769" s="49"/>
      <c r="R769" s="18"/>
      <c r="S769" s="47"/>
      <c r="T769" s="18"/>
      <c r="U769" s="51"/>
    </row>
    <row r="770" spans="15:21" x14ac:dyDescent="0.25">
      <c r="O770" s="84">
        <f t="shared" si="17"/>
        <v>90</v>
      </c>
      <c r="P770" s="46"/>
      <c r="Q770" s="49"/>
      <c r="R770" s="18"/>
      <c r="S770" s="47"/>
      <c r="T770" s="18"/>
      <c r="U770" s="51"/>
    </row>
    <row r="771" spans="15:21" x14ac:dyDescent="0.25">
      <c r="O771" s="84">
        <f t="shared" ref="O771:O834" si="18">90-P771</f>
        <v>90</v>
      </c>
      <c r="P771" s="46"/>
      <c r="Q771" s="49"/>
      <c r="R771" s="18"/>
      <c r="S771" s="47"/>
      <c r="T771" s="18"/>
      <c r="U771" s="51"/>
    </row>
    <row r="772" spans="15:21" x14ac:dyDescent="0.25">
      <c r="O772" s="84">
        <f t="shared" si="18"/>
        <v>90</v>
      </c>
      <c r="P772" s="46"/>
      <c r="Q772" s="49"/>
      <c r="R772" s="18"/>
      <c r="S772" s="47"/>
      <c r="T772" s="18"/>
      <c r="U772" s="51"/>
    </row>
    <row r="773" spans="15:21" x14ac:dyDescent="0.25">
      <c r="O773" s="84">
        <f t="shared" si="18"/>
        <v>90</v>
      </c>
      <c r="P773" s="46"/>
      <c r="Q773" s="49"/>
      <c r="R773" s="18"/>
      <c r="S773" s="47"/>
      <c r="T773" s="18"/>
      <c r="U773" s="51"/>
    </row>
    <row r="774" spans="15:21" x14ac:dyDescent="0.25">
      <c r="O774" s="84">
        <f t="shared" si="18"/>
        <v>90</v>
      </c>
      <c r="P774" s="46"/>
      <c r="Q774" s="49"/>
      <c r="R774" s="18"/>
      <c r="S774" s="47"/>
      <c r="T774" s="18"/>
      <c r="U774" s="51"/>
    </row>
    <row r="775" spans="15:21" x14ac:dyDescent="0.25">
      <c r="O775" s="84">
        <f t="shared" si="18"/>
        <v>90</v>
      </c>
      <c r="P775" s="46"/>
      <c r="Q775" s="49"/>
      <c r="R775" s="18"/>
      <c r="S775" s="47"/>
      <c r="T775" s="18"/>
      <c r="U775" s="51"/>
    </row>
    <row r="776" spans="15:21" x14ac:dyDescent="0.25">
      <c r="O776" s="84">
        <f t="shared" si="18"/>
        <v>90</v>
      </c>
      <c r="P776" s="46"/>
      <c r="Q776" s="49"/>
      <c r="R776" s="18"/>
      <c r="S776" s="47"/>
      <c r="T776" s="18"/>
      <c r="U776" s="51"/>
    </row>
    <row r="777" spans="15:21" x14ac:dyDescent="0.25">
      <c r="O777" s="84">
        <f t="shared" si="18"/>
        <v>90</v>
      </c>
      <c r="P777" s="46"/>
      <c r="Q777" s="49"/>
      <c r="R777" s="18"/>
      <c r="S777" s="47"/>
      <c r="T777" s="18"/>
      <c r="U777" s="51"/>
    </row>
    <row r="778" spans="15:21" x14ac:dyDescent="0.25">
      <c r="O778" s="84">
        <f t="shared" si="18"/>
        <v>90</v>
      </c>
      <c r="P778" s="46"/>
      <c r="Q778" s="49"/>
      <c r="R778" s="18"/>
      <c r="S778" s="47"/>
      <c r="T778" s="18"/>
      <c r="U778" s="51"/>
    </row>
    <row r="779" spans="15:21" x14ac:dyDescent="0.25">
      <c r="O779" s="84">
        <f t="shared" si="18"/>
        <v>90</v>
      </c>
      <c r="P779" s="46"/>
      <c r="Q779" s="49"/>
      <c r="R779" s="18"/>
      <c r="S779" s="47"/>
      <c r="T779" s="18"/>
      <c r="U779" s="51"/>
    </row>
    <row r="780" spans="15:21" x14ac:dyDescent="0.25">
      <c r="O780" s="84">
        <f t="shared" si="18"/>
        <v>90</v>
      </c>
      <c r="P780" s="46"/>
      <c r="Q780" s="49"/>
      <c r="R780" s="18"/>
      <c r="S780" s="47"/>
      <c r="T780" s="18"/>
      <c r="U780" s="51"/>
    </row>
    <row r="781" spans="15:21" x14ac:dyDescent="0.25">
      <c r="O781" s="84">
        <f t="shared" si="18"/>
        <v>90</v>
      </c>
      <c r="P781" s="46"/>
      <c r="Q781" s="49"/>
      <c r="R781" s="18"/>
      <c r="S781" s="47"/>
      <c r="T781" s="18"/>
      <c r="U781" s="51"/>
    </row>
    <row r="782" spans="15:21" x14ac:dyDescent="0.25">
      <c r="O782" s="84">
        <f t="shared" si="18"/>
        <v>90</v>
      </c>
      <c r="P782" s="46"/>
      <c r="Q782" s="49"/>
      <c r="R782" s="18"/>
      <c r="S782" s="47"/>
      <c r="T782" s="18"/>
      <c r="U782" s="51"/>
    </row>
    <row r="783" spans="15:21" x14ac:dyDescent="0.25">
      <c r="O783" s="84">
        <f t="shared" si="18"/>
        <v>90</v>
      </c>
      <c r="P783" s="46"/>
      <c r="Q783" s="49"/>
      <c r="R783" s="18"/>
      <c r="S783" s="47"/>
      <c r="T783" s="18"/>
      <c r="U783" s="51"/>
    </row>
    <row r="784" spans="15:21" x14ac:dyDescent="0.25">
      <c r="O784" s="84">
        <f t="shared" si="18"/>
        <v>90</v>
      </c>
      <c r="P784" s="46"/>
      <c r="Q784" s="49"/>
      <c r="R784" s="18"/>
      <c r="S784" s="47"/>
      <c r="T784" s="18"/>
      <c r="U784" s="51"/>
    </row>
    <row r="785" spans="15:21" x14ac:dyDescent="0.25">
      <c r="O785" s="84">
        <f t="shared" si="18"/>
        <v>90</v>
      </c>
      <c r="P785" s="46"/>
      <c r="Q785" s="49"/>
      <c r="R785" s="18"/>
      <c r="S785" s="47"/>
      <c r="T785" s="18"/>
      <c r="U785" s="51"/>
    </row>
    <row r="786" spans="15:21" x14ac:dyDescent="0.25">
      <c r="O786" s="84">
        <f t="shared" si="18"/>
        <v>90</v>
      </c>
      <c r="P786" s="46"/>
      <c r="Q786" s="49"/>
      <c r="R786" s="18"/>
      <c r="S786" s="47"/>
      <c r="T786" s="18"/>
      <c r="U786" s="51"/>
    </row>
    <row r="787" spans="15:21" x14ac:dyDescent="0.25">
      <c r="O787" s="84">
        <f t="shared" si="18"/>
        <v>90</v>
      </c>
      <c r="P787" s="46"/>
      <c r="Q787" s="49"/>
      <c r="R787" s="18"/>
      <c r="S787" s="47"/>
      <c r="T787" s="18"/>
      <c r="U787" s="51"/>
    </row>
    <row r="788" spans="15:21" x14ac:dyDescent="0.25">
      <c r="O788" s="84">
        <f t="shared" si="18"/>
        <v>90</v>
      </c>
      <c r="P788" s="46"/>
      <c r="Q788" s="49"/>
      <c r="R788" s="18"/>
      <c r="S788" s="47"/>
      <c r="T788" s="18"/>
      <c r="U788" s="51"/>
    </row>
    <row r="789" spans="15:21" x14ac:dyDescent="0.25">
      <c r="O789" s="84">
        <f t="shared" si="18"/>
        <v>90</v>
      </c>
      <c r="P789" s="46"/>
      <c r="Q789" s="49"/>
      <c r="R789" s="18"/>
      <c r="S789" s="47"/>
      <c r="T789" s="18"/>
      <c r="U789" s="51"/>
    </row>
    <row r="790" spans="15:21" x14ac:dyDescent="0.25">
      <c r="O790" s="84">
        <f t="shared" si="18"/>
        <v>90</v>
      </c>
      <c r="P790" s="46"/>
      <c r="Q790" s="49"/>
      <c r="R790" s="18"/>
      <c r="S790" s="47"/>
      <c r="T790" s="18"/>
      <c r="U790" s="51"/>
    </row>
    <row r="791" spans="15:21" x14ac:dyDescent="0.25">
      <c r="O791" s="84">
        <f t="shared" si="18"/>
        <v>90</v>
      </c>
      <c r="P791" s="46"/>
      <c r="Q791" s="49"/>
      <c r="R791" s="18"/>
      <c r="S791" s="47"/>
      <c r="T791" s="18"/>
      <c r="U791" s="51"/>
    </row>
    <row r="792" spans="15:21" x14ac:dyDescent="0.25">
      <c r="O792" s="84">
        <f t="shared" si="18"/>
        <v>90</v>
      </c>
      <c r="P792" s="46"/>
      <c r="Q792" s="49"/>
      <c r="R792" s="18"/>
      <c r="S792" s="47"/>
      <c r="T792" s="18"/>
      <c r="U792" s="51"/>
    </row>
    <row r="793" spans="15:21" x14ac:dyDescent="0.25">
      <c r="O793" s="84">
        <f t="shared" si="18"/>
        <v>90</v>
      </c>
      <c r="P793" s="46"/>
      <c r="Q793" s="49"/>
      <c r="R793" s="18"/>
      <c r="S793" s="47"/>
      <c r="T793" s="18"/>
      <c r="U793" s="51"/>
    </row>
    <row r="794" spans="15:21" x14ac:dyDescent="0.25">
      <c r="O794" s="84">
        <f t="shared" si="18"/>
        <v>90</v>
      </c>
      <c r="P794" s="46"/>
      <c r="Q794" s="49"/>
      <c r="R794" s="18"/>
      <c r="S794" s="47"/>
      <c r="T794" s="18"/>
      <c r="U794" s="51"/>
    </row>
    <row r="795" spans="15:21" x14ac:dyDescent="0.25">
      <c r="O795" s="84">
        <f t="shared" si="18"/>
        <v>90</v>
      </c>
      <c r="P795" s="46"/>
      <c r="Q795" s="49"/>
      <c r="R795" s="18"/>
      <c r="S795" s="47"/>
      <c r="T795" s="18"/>
      <c r="U795" s="51"/>
    </row>
    <row r="796" spans="15:21" x14ac:dyDescent="0.25">
      <c r="O796" s="84">
        <f t="shared" si="18"/>
        <v>90</v>
      </c>
      <c r="P796" s="46"/>
      <c r="Q796" s="49"/>
      <c r="R796" s="18"/>
      <c r="S796" s="47"/>
      <c r="T796" s="18"/>
      <c r="U796" s="51"/>
    </row>
    <row r="797" spans="15:21" x14ac:dyDescent="0.25">
      <c r="O797" s="84">
        <f t="shared" si="18"/>
        <v>90</v>
      </c>
      <c r="P797" s="46"/>
      <c r="Q797" s="49"/>
      <c r="R797" s="18"/>
      <c r="S797" s="47"/>
      <c r="T797" s="18"/>
      <c r="U797" s="51"/>
    </row>
    <row r="798" spans="15:21" x14ac:dyDescent="0.25">
      <c r="O798" s="84">
        <f t="shared" si="18"/>
        <v>90</v>
      </c>
      <c r="P798" s="46"/>
      <c r="Q798" s="49"/>
      <c r="R798" s="18"/>
      <c r="S798" s="47"/>
      <c r="T798" s="18"/>
      <c r="U798" s="51"/>
    </row>
    <row r="799" spans="15:21" x14ac:dyDescent="0.25">
      <c r="O799" s="84">
        <f t="shared" si="18"/>
        <v>90</v>
      </c>
      <c r="P799" s="46"/>
      <c r="Q799" s="49"/>
      <c r="R799" s="18"/>
      <c r="S799" s="47"/>
      <c r="T799" s="18"/>
      <c r="U799" s="51"/>
    </row>
    <row r="800" spans="15:21" x14ac:dyDescent="0.25">
      <c r="O800" s="84">
        <f t="shared" si="18"/>
        <v>90</v>
      </c>
      <c r="P800" s="46"/>
      <c r="Q800" s="49"/>
      <c r="R800" s="18"/>
      <c r="S800" s="47"/>
      <c r="T800" s="18"/>
      <c r="U800" s="51"/>
    </row>
    <row r="801" spans="15:21" x14ac:dyDescent="0.25">
      <c r="O801" s="84">
        <f t="shared" si="18"/>
        <v>90</v>
      </c>
      <c r="P801" s="46"/>
      <c r="Q801" s="49"/>
      <c r="R801" s="18"/>
      <c r="S801" s="47"/>
      <c r="T801" s="18"/>
      <c r="U801" s="51"/>
    </row>
    <row r="802" spans="15:21" x14ac:dyDescent="0.25">
      <c r="O802" s="84">
        <f t="shared" si="18"/>
        <v>90</v>
      </c>
      <c r="P802" s="46"/>
      <c r="Q802" s="49"/>
      <c r="R802" s="18"/>
      <c r="S802" s="47"/>
      <c r="T802" s="18"/>
      <c r="U802" s="51"/>
    </row>
    <row r="803" spans="15:21" x14ac:dyDescent="0.25">
      <c r="O803" s="84">
        <f t="shared" si="18"/>
        <v>90</v>
      </c>
      <c r="P803" s="46"/>
      <c r="Q803" s="49"/>
      <c r="R803" s="18"/>
      <c r="S803" s="47"/>
      <c r="T803" s="18"/>
      <c r="U803" s="51"/>
    </row>
    <row r="804" spans="15:21" x14ac:dyDescent="0.25">
      <c r="O804" s="84">
        <f t="shared" si="18"/>
        <v>90</v>
      </c>
      <c r="P804" s="46"/>
      <c r="Q804" s="49"/>
      <c r="R804" s="18"/>
      <c r="S804" s="47"/>
      <c r="T804" s="18"/>
      <c r="U804" s="51"/>
    </row>
    <row r="805" spans="15:21" x14ac:dyDescent="0.25">
      <c r="O805" s="84">
        <f t="shared" si="18"/>
        <v>90</v>
      </c>
      <c r="P805" s="46"/>
      <c r="Q805" s="49"/>
      <c r="R805" s="18"/>
      <c r="S805" s="47"/>
      <c r="T805" s="18"/>
      <c r="U805" s="51"/>
    </row>
    <row r="806" spans="15:21" x14ac:dyDescent="0.25">
      <c r="O806" s="84">
        <f t="shared" si="18"/>
        <v>90</v>
      </c>
      <c r="P806" s="46"/>
      <c r="Q806" s="49"/>
      <c r="R806" s="18"/>
      <c r="S806" s="47"/>
      <c r="T806" s="18"/>
      <c r="U806" s="51"/>
    </row>
    <row r="807" spans="15:21" x14ac:dyDescent="0.25">
      <c r="O807" s="84">
        <f t="shared" si="18"/>
        <v>90</v>
      </c>
      <c r="P807" s="46"/>
      <c r="Q807" s="49"/>
      <c r="R807" s="18"/>
      <c r="S807" s="47"/>
      <c r="T807" s="18"/>
      <c r="U807" s="51"/>
    </row>
    <row r="808" spans="15:21" x14ac:dyDescent="0.25">
      <c r="O808" s="84">
        <f t="shared" si="18"/>
        <v>90</v>
      </c>
      <c r="P808" s="46"/>
      <c r="Q808" s="49"/>
      <c r="R808" s="18"/>
      <c r="S808" s="47"/>
      <c r="T808" s="18"/>
      <c r="U808" s="51"/>
    </row>
    <row r="809" spans="15:21" x14ac:dyDescent="0.25">
      <c r="O809" s="84">
        <f t="shared" si="18"/>
        <v>90</v>
      </c>
      <c r="P809" s="46"/>
      <c r="Q809" s="49"/>
      <c r="R809" s="18"/>
      <c r="S809" s="47"/>
      <c r="T809" s="18"/>
      <c r="U809" s="51"/>
    </row>
    <row r="810" spans="15:21" x14ac:dyDescent="0.25">
      <c r="O810" s="84">
        <f t="shared" si="18"/>
        <v>90</v>
      </c>
      <c r="P810" s="46"/>
      <c r="Q810" s="49"/>
      <c r="R810" s="18"/>
      <c r="S810" s="47"/>
      <c r="T810" s="18"/>
      <c r="U810" s="51"/>
    </row>
    <row r="811" spans="15:21" x14ac:dyDescent="0.25">
      <c r="O811" s="84">
        <f t="shared" si="18"/>
        <v>90</v>
      </c>
      <c r="P811" s="46"/>
      <c r="Q811" s="49"/>
      <c r="R811" s="18"/>
      <c r="S811" s="47"/>
      <c r="T811" s="18"/>
      <c r="U811" s="51"/>
    </row>
    <row r="812" spans="15:21" x14ac:dyDescent="0.25">
      <c r="O812" s="84">
        <f t="shared" si="18"/>
        <v>90</v>
      </c>
      <c r="P812" s="46"/>
      <c r="Q812" s="49"/>
      <c r="R812" s="18"/>
      <c r="S812" s="47"/>
      <c r="T812" s="18"/>
      <c r="U812" s="51"/>
    </row>
    <row r="813" spans="15:21" x14ac:dyDescent="0.25">
      <c r="O813" s="84">
        <f t="shared" si="18"/>
        <v>90</v>
      </c>
      <c r="P813" s="46"/>
      <c r="Q813" s="49"/>
      <c r="R813" s="18"/>
      <c r="S813" s="47"/>
      <c r="T813" s="18"/>
      <c r="U813" s="51"/>
    </row>
    <row r="814" spans="15:21" x14ac:dyDescent="0.25">
      <c r="O814" s="84">
        <f t="shared" si="18"/>
        <v>90</v>
      </c>
      <c r="P814" s="46"/>
      <c r="Q814" s="49"/>
      <c r="R814" s="18"/>
      <c r="S814" s="47"/>
      <c r="T814" s="18"/>
      <c r="U814" s="51"/>
    </row>
    <row r="815" spans="15:21" x14ac:dyDescent="0.25">
      <c r="O815" s="84">
        <f t="shared" si="18"/>
        <v>90</v>
      </c>
      <c r="P815" s="46"/>
      <c r="Q815" s="49"/>
      <c r="R815" s="18"/>
      <c r="S815" s="47"/>
      <c r="T815" s="18"/>
      <c r="U815" s="51"/>
    </row>
    <row r="816" spans="15:21" x14ac:dyDescent="0.25">
      <c r="O816" s="84">
        <f t="shared" si="18"/>
        <v>90</v>
      </c>
      <c r="P816" s="46"/>
      <c r="Q816" s="49"/>
      <c r="R816" s="18"/>
      <c r="S816" s="47"/>
      <c r="T816" s="18"/>
      <c r="U816" s="51"/>
    </row>
    <row r="817" spans="15:21" x14ac:dyDescent="0.25">
      <c r="O817" s="84">
        <f t="shared" si="18"/>
        <v>90</v>
      </c>
      <c r="P817" s="46"/>
      <c r="Q817" s="49"/>
      <c r="R817" s="18"/>
      <c r="S817" s="47"/>
      <c r="T817" s="18"/>
      <c r="U817" s="51"/>
    </row>
    <row r="818" spans="15:21" x14ac:dyDescent="0.25">
      <c r="O818" s="84">
        <f t="shared" si="18"/>
        <v>90</v>
      </c>
      <c r="P818" s="46"/>
      <c r="Q818" s="49"/>
      <c r="R818" s="18"/>
      <c r="S818" s="47"/>
      <c r="T818" s="18"/>
      <c r="U818" s="51"/>
    </row>
    <row r="819" spans="15:21" x14ac:dyDescent="0.25">
      <c r="O819" s="84">
        <f t="shared" si="18"/>
        <v>90</v>
      </c>
      <c r="P819" s="46"/>
      <c r="Q819" s="49"/>
      <c r="R819" s="18"/>
      <c r="S819" s="47"/>
      <c r="T819" s="18"/>
      <c r="U819" s="51"/>
    </row>
    <row r="820" spans="15:21" x14ac:dyDescent="0.25">
      <c r="O820" s="84">
        <f t="shared" si="18"/>
        <v>90</v>
      </c>
      <c r="P820" s="46"/>
      <c r="Q820" s="49"/>
      <c r="R820" s="18"/>
      <c r="S820" s="47"/>
      <c r="T820" s="18"/>
      <c r="U820" s="51"/>
    </row>
    <row r="821" spans="15:21" x14ac:dyDescent="0.25">
      <c r="O821" s="84">
        <f t="shared" si="18"/>
        <v>90</v>
      </c>
      <c r="P821" s="46"/>
      <c r="Q821" s="49"/>
      <c r="R821" s="18"/>
      <c r="S821" s="47"/>
      <c r="T821" s="18"/>
      <c r="U821" s="51"/>
    </row>
    <row r="822" spans="15:21" x14ac:dyDescent="0.25">
      <c r="O822" s="84">
        <f t="shared" si="18"/>
        <v>90</v>
      </c>
      <c r="P822" s="46"/>
      <c r="Q822" s="49"/>
      <c r="R822" s="18"/>
      <c r="S822" s="47"/>
      <c r="T822" s="18"/>
      <c r="U822" s="51"/>
    </row>
    <row r="823" spans="15:21" x14ac:dyDescent="0.25">
      <c r="O823" s="84">
        <f t="shared" si="18"/>
        <v>90</v>
      </c>
      <c r="P823" s="46"/>
      <c r="Q823" s="49"/>
      <c r="R823" s="18"/>
      <c r="S823" s="47"/>
      <c r="T823" s="18"/>
      <c r="U823" s="51"/>
    </row>
    <row r="824" spans="15:21" x14ac:dyDescent="0.25">
      <c r="O824" s="84">
        <f t="shared" si="18"/>
        <v>90</v>
      </c>
      <c r="P824" s="46"/>
      <c r="Q824" s="49"/>
      <c r="R824" s="18"/>
      <c r="S824" s="47"/>
      <c r="T824" s="18"/>
      <c r="U824" s="51"/>
    </row>
    <row r="825" spans="15:21" x14ac:dyDescent="0.25">
      <c r="O825" s="84">
        <f t="shared" si="18"/>
        <v>90</v>
      </c>
      <c r="P825" s="46"/>
      <c r="Q825" s="49"/>
      <c r="R825" s="18"/>
      <c r="S825" s="47"/>
      <c r="T825" s="18"/>
      <c r="U825" s="51"/>
    </row>
    <row r="826" spans="15:21" x14ac:dyDescent="0.25">
      <c r="O826" s="84">
        <f t="shared" si="18"/>
        <v>90</v>
      </c>
      <c r="P826" s="46"/>
      <c r="Q826" s="49"/>
      <c r="R826" s="18"/>
      <c r="S826" s="47"/>
      <c r="T826" s="18"/>
      <c r="U826" s="51"/>
    </row>
    <row r="827" spans="15:21" x14ac:dyDescent="0.25">
      <c r="O827" s="84">
        <f t="shared" si="18"/>
        <v>90</v>
      </c>
      <c r="P827" s="46"/>
      <c r="Q827" s="49"/>
      <c r="R827" s="18"/>
      <c r="S827" s="47"/>
      <c r="T827" s="18"/>
      <c r="U827" s="51"/>
    </row>
    <row r="828" spans="15:21" x14ac:dyDescent="0.25">
      <c r="O828" s="84">
        <f t="shared" si="18"/>
        <v>90</v>
      </c>
      <c r="P828" s="46"/>
      <c r="Q828" s="49"/>
      <c r="R828" s="18"/>
      <c r="S828" s="47"/>
      <c r="T828" s="18"/>
      <c r="U828" s="51"/>
    </row>
    <row r="829" spans="15:21" x14ac:dyDescent="0.25">
      <c r="O829" s="84">
        <f t="shared" si="18"/>
        <v>90</v>
      </c>
      <c r="P829" s="46"/>
      <c r="Q829" s="49"/>
      <c r="R829" s="18"/>
      <c r="S829" s="47"/>
      <c r="T829" s="18"/>
      <c r="U829" s="51"/>
    </row>
    <row r="830" spans="15:21" x14ac:dyDescent="0.25">
      <c r="O830" s="84">
        <f t="shared" si="18"/>
        <v>90</v>
      </c>
      <c r="P830" s="46"/>
      <c r="Q830" s="49"/>
      <c r="R830" s="18"/>
      <c r="S830" s="47"/>
      <c r="T830" s="18"/>
      <c r="U830" s="51"/>
    </row>
    <row r="831" spans="15:21" x14ac:dyDescent="0.25">
      <c r="O831" s="84">
        <f t="shared" si="18"/>
        <v>90</v>
      </c>
      <c r="P831" s="46"/>
      <c r="Q831" s="49"/>
      <c r="R831" s="18"/>
      <c r="S831" s="47"/>
      <c r="T831" s="18"/>
      <c r="U831" s="51"/>
    </row>
    <row r="832" spans="15:21" x14ac:dyDescent="0.25">
      <c r="O832" s="84">
        <f t="shared" si="18"/>
        <v>90</v>
      </c>
      <c r="P832" s="46"/>
      <c r="Q832" s="49"/>
      <c r="R832" s="18"/>
      <c r="S832" s="47"/>
      <c r="T832" s="18"/>
      <c r="U832" s="51"/>
    </row>
    <row r="833" spans="15:21" x14ac:dyDescent="0.25">
      <c r="O833" s="84">
        <f t="shared" si="18"/>
        <v>90</v>
      </c>
      <c r="P833" s="46"/>
      <c r="Q833" s="49"/>
      <c r="R833" s="18"/>
      <c r="S833" s="47"/>
      <c r="T833" s="18"/>
      <c r="U833" s="51"/>
    </row>
    <row r="834" spans="15:21" x14ac:dyDescent="0.25">
      <c r="O834" s="84">
        <f t="shared" si="18"/>
        <v>90</v>
      </c>
      <c r="P834" s="46"/>
      <c r="Q834" s="49"/>
      <c r="R834" s="18"/>
      <c r="S834" s="47"/>
      <c r="T834" s="18"/>
      <c r="U834" s="51"/>
    </row>
    <row r="835" spans="15:21" x14ac:dyDescent="0.25">
      <c r="O835" s="84">
        <f t="shared" ref="O835:O898" si="19">90-P835</f>
        <v>90</v>
      </c>
      <c r="P835" s="46"/>
      <c r="Q835" s="49"/>
      <c r="R835" s="18"/>
      <c r="S835" s="47"/>
      <c r="T835" s="18"/>
      <c r="U835" s="51"/>
    </row>
    <row r="836" spans="15:21" x14ac:dyDescent="0.25">
      <c r="O836" s="84">
        <f t="shared" si="19"/>
        <v>90</v>
      </c>
      <c r="P836" s="46"/>
      <c r="Q836" s="49"/>
      <c r="R836" s="18"/>
      <c r="S836" s="47"/>
      <c r="T836" s="18"/>
      <c r="U836" s="51"/>
    </row>
    <row r="837" spans="15:21" x14ac:dyDescent="0.25">
      <c r="O837" s="84">
        <f t="shared" si="19"/>
        <v>90</v>
      </c>
      <c r="P837" s="46"/>
      <c r="Q837" s="49"/>
      <c r="R837" s="18"/>
      <c r="S837" s="47"/>
      <c r="T837" s="18"/>
      <c r="U837" s="51"/>
    </row>
    <row r="838" spans="15:21" x14ac:dyDescent="0.25">
      <c r="O838" s="84">
        <f t="shared" si="19"/>
        <v>90</v>
      </c>
      <c r="P838" s="46"/>
      <c r="Q838" s="49"/>
      <c r="R838" s="18"/>
      <c r="S838" s="47"/>
      <c r="T838" s="18"/>
      <c r="U838" s="51"/>
    </row>
    <row r="839" spans="15:21" x14ac:dyDescent="0.25">
      <c r="O839" s="84">
        <f t="shared" si="19"/>
        <v>90</v>
      </c>
      <c r="P839" s="46"/>
      <c r="Q839" s="49"/>
      <c r="R839" s="18"/>
      <c r="S839" s="47"/>
      <c r="T839" s="18"/>
      <c r="U839" s="51"/>
    </row>
    <row r="840" spans="15:21" x14ac:dyDescent="0.25">
      <c r="O840" s="84">
        <f t="shared" si="19"/>
        <v>90</v>
      </c>
      <c r="P840" s="46"/>
      <c r="Q840" s="49"/>
      <c r="R840" s="18"/>
      <c r="S840" s="47"/>
      <c r="T840" s="18"/>
      <c r="U840" s="51"/>
    </row>
    <row r="841" spans="15:21" x14ac:dyDescent="0.25">
      <c r="O841" s="84">
        <f t="shared" si="19"/>
        <v>90</v>
      </c>
      <c r="P841" s="46"/>
      <c r="Q841" s="49"/>
      <c r="R841" s="18"/>
      <c r="S841" s="47"/>
      <c r="T841" s="18"/>
      <c r="U841" s="51"/>
    </row>
    <row r="842" spans="15:21" x14ac:dyDescent="0.25">
      <c r="O842" s="84">
        <f t="shared" si="19"/>
        <v>90</v>
      </c>
      <c r="P842" s="46"/>
      <c r="Q842" s="49"/>
      <c r="R842" s="18"/>
      <c r="S842" s="47"/>
      <c r="T842" s="18"/>
      <c r="U842" s="51"/>
    </row>
    <row r="843" spans="15:21" x14ac:dyDescent="0.25">
      <c r="O843" s="84">
        <f t="shared" si="19"/>
        <v>90</v>
      </c>
      <c r="P843" s="46"/>
      <c r="Q843" s="49"/>
      <c r="R843" s="18"/>
      <c r="S843" s="47"/>
      <c r="T843" s="18"/>
      <c r="U843" s="51"/>
    </row>
    <row r="844" spans="15:21" x14ac:dyDescent="0.25">
      <c r="O844" s="84">
        <f t="shared" si="19"/>
        <v>90</v>
      </c>
      <c r="P844" s="46"/>
      <c r="Q844" s="49"/>
      <c r="R844" s="18"/>
      <c r="S844" s="47"/>
      <c r="T844" s="18"/>
      <c r="U844" s="51"/>
    </row>
    <row r="845" spans="15:21" x14ac:dyDescent="0.25">
      <c r="O845" s="84">
        <f t="shared" si="19"/>
        <v>90</v>
      </c>
      <c r="P845" s="46"/>
      <c r="Q845" s="49"/>
      <c r="R845" s="18"/>
      <c r="S845" s="47"/>
      <c r="T845" s="18"/>
      <c r="U845" s="51"/>
    </row>
    <row r="846" spans="15:21" x14ac:dyDescent="0.25">
      <c r="O846" s="84">
        <f t="shared" si="19"/>
        <v>90</v>
      </c>
      <c r="P846" s="46"/>
      <c r="Q846" s="49"/>
      <c r="R846" s="18"/>
      <c r="S846" s="47"/>
      <c r="T846" s="18"/>
      <c r="U846" s="51"/>
    </row>
    <row r="847" spans="15:21" x14ac:dyDescent="0.25">
      <c r="O847" s="84">
        <f t="shared" si="19"/>
        <v>90</v>
      </c>
      <c r="P847" s="46"/>
      <c r="Q847" s="49"/>
      <c r="R847" s="18"/>
      <c r="S847" s="47"/>
      <c r="T847" s="18"/>
      <c r="U847" s="51"/>
    </row>
    <row r="848" spans="15:21" x14ac:dyDescent="0.25">
      <c r="O848" s="84">
        <f t="shared" si="19"/>
        <v>90</v>
      </c>
      <c r="P848" s="46"/>
      <c r="Q848" s="49"/>
      <c r="R848" s="18"/>
      <c r="S848" s="47"/>
      <c r="T848" s="18"/>
      <c r="U848" s="51"/>
    </row>
    <row r="849" spans="15:21" x14ac:dyDescent="0.25">
      <c r="O849" s="84">
        <f t="shared" si="19"/>
        <v>90</v>
      </c>
      <c r="P849" s="46"/>
      <c r="Q849" s="49"/>
      <c r="R849" s="18"/>
      <c r="S849" s="47"/>
      <c r="T849" s="18"/>
      <c r="U849" s="51"/>
    </row>
    <row r="850" spans="15:21" x14ac:dyDescent="0.25">
      <c r="O850" s="84">
        <f t="shared" si="19"/>
        <v>90</v>
      </c>
      <c r="P850" s="46"/>
      <c r="Q850" s="49"/>
      <c r="R850" s="18"/>
      <c r="S850" s="47"/>
      <c r="T850" s="18"/>
      <c r="U850" s="51"/>
    </row>
    <row r="851" spans="15:21" x14ac:dyDescent="0.25">
      <c r="O851" s="84">
        <f t="shared" si="19"/>
        <v>90</v>
      </c>
      <c r="P851" s="46"/>
      <c r="Q851" s="49"/>
      <c r="R851" s="18"/>
      <c r="S851" s="47"/>
      <c r="T851" s="18"/>
      <c r="U851" s="51"/>
    </row>
    <row r="852" spans="15:21" x14ac:dyDescent="0.25">
      <c r="O852" s="84">
        <f t="shared" si="19"/>
        <v>90</v>
      </c>
      <c r="P852" s="46"/>
      <c r="Q852" s="49"/>
      <c r="R852" s="18"/>
      <c r="S852" s="47"/>
      <c r="T852" s="18"/>
      <c r="U852" s="51"/>
    </row>
    <row r="853" spans="15:21" x14ac:dyDescent="0.25">
      <c r="O853" s="84">
        <f t="shared" si="19"/>
        <v>90</v>
      </c>
      <c r="P853" s="46"/>
      <c r="Q853" s="49"/>
      <c r="R853" s="18"/>
      <c r="S853" s="47"/>
      <c r="T853" s="18"/>
      <c r="U853" s="51"/>
    </row>
    <row r="854" spans="15:21" x14ac:dyDescent="0.25">
      <c r="O854" s="84">
        <f t="shared" si="19"/>
        <v>90</v>
      </c>
      <c r="P854" s="46"/>
      <c r="Q854" s="49"/>
      <c r="R854" s="18"/>
      <c r="S854" s="47"/>
      <c r="T854" s="18"/>
      <c r="U854" s="51"/>
    </row>
    <row r="855" spans="15:21" x14ac:dyDescent="0.25">
      <c r="O855" s="84">
        <f t="shared" si="19"/>
        <v>90</v>
      </c>
      <c r="P855" s="46"/>
      <c r="Q855" s="49"/>
      <c r="R855" s="18"/>
      <c r="S855" s="47"/>
      <c r="T855" s="18"/>
      <c r="U855" s="51"/>
    </row>
    <row r="856" spans="15:21" x14ac:dyDescent="0.25">
      <c r="O856" s="84">
        <f t="shared" si="19"/>
        <v>90</v>
      </c>
      <c r="P856" s="46"/>
      <c r="Q856" s="49"/>
      <c r="R856" s="18"/>
      <c r="S856" s="47"/>
      <c r="T856" s="18"/>
      <c r="U856" s="51"/>
    </row>
    <row r="857" spans="15:21" x14ac:dyDescent="0.25">
      <c r="O857" s="84">
        <f t="shared" si="19"/>
        <v>90</v>
      </c>
      <c r="P857" s="46"/>
      <c r="Q857" s="49"/>
      <c r="R857" s="18"/>
      <c r="S857" s="47"/>
      <c r="T857" s="18"/>
      <c r="U857" s="51"/>
    </row>
    <row r="858" spans="15:21" x14ac:dyDescent="0.25">
      <c r="O858" s="84">
        <f t="shared" si="19"/>
        <v>90</v>
      </c>
      <c r="P858" s="46"/>
      <c r="Q858" s="49"/>
      <c r="R858" s="18"/>
      <c r="S858" s="47"/>
      <c r="T858" s="18"/>
      <c r="U858" s="51"/>
    </row>
    <row r="859" spans="15:21" x14ac:dyDescent="0.25">
      <c r="O859" s="84">
        <f t="shared" si="19"/>
        <v>90</v>
      </c>
      <c r="P859" s="46"/>
      <c r="Q859" s="49"/>
      <c r="R859" s="18"/>
      <c r="S859" s="47"/>
      <c r="T859" s="18"/>
      <c r="U859" s="51"/>
    </row>
    <row r="860" spans="15:21" x14ac:dyDescent="0.25">
      <c r="O860" s="84">
        <f t="shared" si="19"/>
        <v>90</v>
      </c>
      <c r="P860" s="46"/>
      <c r="Q860" s="49"/>
      <c r="R860" s="18"/>
      <c r="S860" s="47"/>
      <c r="T860" s="18"/>
      <c r="U860" s="51"/>
    </row>
    <row r="861" spans="15:21" x14ac:dyDescent="0.25">
      <c r="O861" s="84">
        <f t="shared" si="19"/>
        <v>90</v>
      </c>
      <c r="P861" s="46"/>
      <c r="Q861" s="49"/>
      <c r="R861" s="18"/>
      <c r="S861" s="47"/>
      <c r="T861" s="18"/>
      <c r="U861" s="51"/>
    </row>
    <row r="862" spans="15:21" x14ac:dyDescent="0.25">
      <c r="O862" s="84">
        <f t="shared" si="19"/>
        <v>90</v>
      </c>
      <c r="P862" s="46"/>
      <c r="Q862" s="49"/>
      <c r="R862" s="18"/>
      <c r="S862" s="47"/>
      <c r="T862" s="18"/>
      <c r="U862" s="51"/>
    </row>
    <row r="863" spans="15:21" x14ac:dyDescent="0.25">
      <c r="O863" s="84">
        <f t="shared" si="19"/>
        <v>90</v>
      </c>
      <c r="P863" s="46"/>
      <c r="Q863" s="49"/>
      <c r="R863" s="18"/>
      <c r="S863" s="47"/>
      <c r="T863" s="18"/>
      <c r="U863" s="51"/>
    </row>
    <row r="864" spans="15:21" x14ac:dyDescent="0.25">
      <c r="O864" s="84">
        <f t="shared" si="19"/>
        <v>90</v>
      </c>
      <c r="P864" s="46"/>
      <c r="Q864" s="49"/>
      <c r="R864" s="18"/>
      <c r="S864" s="47"/>
      <c r="T864" s="18"/>
      <c r="U864" s="51"/>
    </row>
    <row r="865" spans="15:21" x14ac:dyDescent="0.25">
      <c r="O865" s="84">
        <f t="shared" si="19"/>
        <v>90</v>
      </c>
      <c r="P865" s="46"/>
      <c r="Q865" s="49"/>
      <c r="R865" s="18"/>
      <c r="S865" s="47"/>
      <c r="T865" s="18"/>
      <c r="U865" s="51"/>
    </row>
    <row r="866" spans="15:21" x14ac:dyDescent="0.25">
      <c r="O866" s="84">
        <f t="shared" si="19"/>
        <v>90</v>
      </c>
      <c r="P866" s="46"/>
      <c r="Q866" s="49"/>
      <c r="R866" s="18"/>
      <c r="S866" s="47"/>
      <c r="T866" s="18"/>
      <c r="U866" s="51"/>
    </row>
    <row r="867" spans="15:21" x14ac:dyDescent="0.25">
      <c r="O867" s="84">
        <f t="shared" si="19"/>
        <v>90</v>
      </c>
      <c r="P867" s="46"/>
      <c r="Q867" s="49"/>
      <c r="R867" s="18"/>
      <c r="S867" s="47"/>
      <c r="T867" s="18"/>
      <c r="U867" s="51"/>
    </row>
    <row r="868" spans="15:21" x14ac:dyDescent="0.25">
      <c r="O868" s="84">
        <f t="shared" si="19"/>
        <v>90</v>
      </c>
      <c r="P868" s="46"/>
      <c r="Q868" s="49"/>
      <c r="R868" s="18"/>
      <c r="S868" s="47"/>
      <c r="T868" s="18"/>
      <c r="U868" s="51"/>
    </row>
    <row r="869" spans="15:21" x14ac:dyDescent="0.25">
      <c r="O869" s="84">
        <f t="shared" si="19"/>
        <v>90</v>
      </c>
      <c r="P869" s="46"/>
      <c r="Q869" s="49"/>
      <c r="R869" s="18"/>
      <c r="S869" s="47"/>
      <c r="T869" s="18"/>
      <c r="U869" s="51"/>
    </row>
    <row r="870" spans="15:21" x14ac:dyDescent="0.25">
      <c r="O870" s="84">
        <f t="shared" si="19"/>
        <v>90</v>
      </c>
      <c r="P870" s="46"/>
      <c r="Q870" s="49"/>
      <c r="R870" s="18"/>
      <c r="S870" s="47"/>
      <c r="T870" s="18"/>
      <c r="U870" s="51"/>
    </row>
    <row r="871" spans="15:21" x14ac:dyDescent="0.25">
      <c r="O871" s="84">
        <f t="shared" si="19"/>
        <v>90</v>
      </c>
      <c r="P871" s="46"/>
      <c r="Q871" s="49"/>
      <c r="R871" s="18"/>
      <c r="S871" s="47"/>
      <c r="T871" s="18"/>
      <c r="U871" s="51"/>
    </row>
    <row r="872" spans="15:21" x14ac:dyDescent="0.25">
      <c r="O872" s="84">
        <f t="shared" si="19"/>
        <v>90</v>
      </c>
      <c r="P872" s="46"/>
      <c r="Q872" s="49"/>
      <c r="R872" s="18"/>
      <c r="S872" s="47"/>
      <c r="T872" s="18"/>
      <c r="U872" s="51"/>
    </row>
    <row r="873" spans="15:21" x14ac:dyDescent="0.25">
      <c r="O873" s="84">
        <f t="shared" si="19"/>
        <v>90</v>
      </c>
      <c r="P873" s="46"/>
      <c r="Q873" s="49"/>
      <c r="R873" s="18"/>
      <c r="S873" s="47"/>
      <c r="T873" s="18"/>
      <c r="U873" s="51"/>
    </row>
    <row r="874" spans="15:21" x14ac:dyDescent="0.25">
      <c r="O874" s="84">
        <f t="shared" si="19"/>
        <v>90</v>
      </c>
      <c r="P874" s="46"/>
      <c r="Q874" s="49"/>
      <c r="R874" s="18"/>
      <c r="S874" s="47"/>
      <c r="T874" s="18"/>
      <c r="U874" s="51"/>
    </row>
    <row r="875" spans="15:21" x14ac:dyDescent="0.25">
      <c r="O875" s="84">
        <f t="shared" si="19"/>
        <v>90</v>
      </c>
      <c r="P875" s="46"/>
      <c r="Q875" s="49"/>
      <c r="R875" s="18"/>
      <c r="S875" s="47"/>
      <c r="T875" s="18"/>
      <c r="U875" s="51"/>
    </row>
    <row r="876" spans="15:21" x14ac:dyDescent="0.25">
      <c r="O876" s="84">
        <f t="shared" si="19"/>
        <v>90</v>
      </c>
      <c r="P876" s="46"/>
      <c r="Q876" s="49"/>
      <c r="R876" s="18"/>
      <c r="S876" s="47"/>
      <c r="T876" s="18"/>
      <c r="U876" s="51"/>
    </row>
    <row r="877" spans="15:21" x14ac:dyDescent="0.25">
      <c r="O877" s="84">
        <f t="shared" si="19"/>
        <v>90</v>
      </c>
      <c r="P877" s="46"/>
      <c r="Q877" s="49"/>
      <c r="R877" s="18"/>
      <c r="S877" s="47"/>
      <c r="T877" s="18"/>
      <c r="U877" s="51"/>
    </row>
    <row r="878" spans="15:21" x14ac:dyDescent="0.25">
      <c r="O878" s="84">
        <f t="shared" si="19"/>
        <v>90</v>
      </c>
      <c r="P878" s="46"/>
      <c r="Q878" s="49"/>
      <c r="R878" s="18"/>
      <c r="S878" s="47"/>
      <c r="T878" s="18"/>
      <c r="U878" s="51"/>
    </row>
    <row r="879" spans="15:21" x14ac:dyDescent="0.25">
      <c r="O879" s="84">
        <f t="shared" si="19"/>
        <v>90</v>
      </c>
      <c r="P879" s="46"/>
      <c r="Q879" s="49"/>
      <c r="R879" s="18"/>
      <c r="S879" s="47"/>
      <c r="T879" s="18"/>
      <c r="U879" s="51"/>
    </row>
    <row r="880" spans="15:21" x14ac:dyDescent="0.25">
      <c r="O880" s="84">
        <f t="shared" si="19"/>
        <v>90</v>
      </c>
      <c r="P880" s="46"/>
      <c r="Q880" s="49"/>
      <c r="R880" s="18"/>
      <c r="S880" s="47"/>
      <c r="T880" s="18"/>
      <c r="U880" s="51"/>
    </row>
    <row r="881" spans="15:21" x14ac:dyDescent="0.25">
      <c r="O881" s="84">
        <f t="shared" si="19"/>
        <v>90</v>
      </c>
      <c r="P881" s="46"/>
      <c r="Q881" s="49"/>
      <c r="R881" s="18"/>
      <c r="S881" s="47"/>
      <c r="T881" s="18"/>
      <c r="U881" s="51"/>
    </row>
    <row r="882" spans="15:21" x14ac:dyDescent="0.25">
      <c r="O882" s="84">
        <f t="shared" si="19"/>
        <v>90</v>
      </c>
      <c r="P882" s="46"/>
      <c r="Q882" s="49"/>
      <c r="R882" s="18"/>
      <c r="S882" s="47"/>
      <c r="T882" s="18"/>
      <c r="U882" s="51"/>
    </row>
    <row r="883" spans="15:21" x14ac:dyDescent="0.25">
      <c r="O883" s="84">
        <f t="shared" si="19"/>
        <v>90</v>
      </c>
      <c r="P883" s="46"/>
      <c r="Q883" s="49"/>
      <c r="R883" s="18"/>
      <c r="S883" s="47"/>
      <c r="T883" s="18"/>
      <c r="U883" s="51"/>
    </row>
    <row r="884" spans="15:21" x14ac:dyDescent="0.25">
      <c r="O884" s="84">
        <f t="shared" si="19"/>
        <v>90</v>
      </c>
      <c r="P884" s="46"/>
      <c r="Q884" s="49"/>
      <c r="R884" s="18"/>
      <c r="S884" s="47"/>
      <c r="T884" s="18"/>
      <c r="U884" s="51"/>
    </row>
    <row r="885" spans="15:21" x14ac:dyDescent="0.25">
      <c r="O885" s="84">
        <f t="shared" si="19"/>
        <v>90</v>
      </c>
      <c r="P885" s="46"/>
      <c r="Q885" s="49"/>
      <c r="R885" s="18"/>
      <c r="S885" s="47"/>
      <c r="T885" s="18"/>
      <c r="U885" s="51"/>
    </row>
    <row r="886" spans="15:21" x14ac:dyDescent="0.25">
      <c r="O886" s="84">
        <f t="shared" si="19"/>
        <v>90</v>
      </c>
      <c r="P886" s="46"/>
      <c r="Q886" s="49"/>
      <c r="R886" s="18"/>
      <c r="S886" s="47"/>
      <c r="T886" s="18"/>
      <c r="U886" s="51"/>
    </row>
    <row r="887" spans="15:21" x14ac:dyDescent="0.25">
      <c r="O887" s="84">
        <f t="shared" si="19"/>
        <v>90</v>
      </c>
      <c r="P887" s="46"/>
      <c r="Q887" s="49"/>
      <c r="R887" s="18"/>
      <c r="S887" s="47"/>
      <c r="T887" s="18"/>
      <c r="U887" s="51"/>
    </row>
    <row r="888" spans="15:21" x14ac:dyDescent="0.25">
      <c r="O888" s="84">
        <f t="shared" si="19"/>
        <v>90</v>
      </c>
      <c r="P888" s="46"/>
      <c r="Q888" s="49"/>
      <c r="R888" s="18"/>
      <c r="S888" s="47"/>
      <c r="T888" s="18"/>
      <c r="U888" s="51"/>
    </row>
    <row r="889" spans="15:21" x14ac:dyDescent="0.25">
      <c r="O889" s="84">
        <f t="shared" si="19"/>
        <v>90</v>
      </c>
      <c r="P889" s="46"/>
      <c r="Q889" s="49"/>
      <c r="R889" s="18"/>
      <c r="S889" s="47"/>
      <c r="T889" s="18"/>
      <c r="U889" s="51"/>
    </row>
    <row r="890" spans="15:21" x14ac:dyDescent="0.25">
      <c r="O890" s="84">
        <f t="shared" si="19"/>
        <v>90</v>
      </c>
      <c r="P890" s="46"/>
      <c r="Q890" s="49"/>
      <c r="R890" s="18"/>
      <c r="S890" s="47"/>
      <c r="T890" s="18"/>
      <c r="U890" s="51"/>
    </row>
    <row r="891" spans="15:21" x14ac:dyDescent="0.25">
      <c r="O891" s="84">
        <f t="shared" si="19"/>
        <v>90</v>
      </c>
      <c r="P891" s="46"/>
      <c r="Q891" s="49"/>
      <c r="R891" s="18"/>
      <c r="S891" s="47"/>
      <c r="T891" s="18"/>
      <c r="U891" s="51"/>
    </row>
    <row r="892" spans="15:21" x14ac:dyDescent="0.25">
      <c r="O892" s="84">
        <f t="shared" si="19"/>
        <v>90</v>
      </c>
      <c r="P892" s="46"/>
      <c r="Q892" s="49"/>
      <c r="R892" s="18"/>
      <c r="S892" s="47"/>
      <c r="T892" s="18"/>
      <c r="U892" s="51"/>
    </row>
    <row r="893" spans="15:21" x14ac:dyDescent="0.25">
      <c r="O893" s="84">
        <f t="shared" si="19"/>
        <v>90</v>
      </c>
      <c r="P893" s="46"/>
      <c r="Q893" s="49"/>
      <c r="R893" s="18"/>
      <c r="S893" s="47"/>
      <c r="T893" s="18"/>
      <c r="U893" s="51"/>
    </row>
    <row r="894" spans="15:21" x14ac:dyDescent="0.25">
      <c r="O894" s="84">
        <f t="shared" si="19"/>
        <v>90</v>
      </c>
      <c r="P894" s="46"/>
      <c r="Q894" s="49"/>
      <c r="R894" s="18"/>
      <c r="S894" s="47"/>
      <c r="T894" s="18"/>
      <c r="U894" s="51"/>
    </row>
    <row r="895" spans="15:21" x14ac:dyDescent="0.25">
      <c r="O895" s="84">
        <f t="shared" si="19"/>
        <v>90</v>
      </c>
      <c r="P895" s="46"/>
      <c r="Q895" s="49"/>
      <c r="R895" s="18"/>
      <c r="S895" s="47"/>
      <c r="T895" s="18"/>
      <c r="U895" s="51"/>
    </row>
    <row r="896" spans="15:21" x14ac:dyDescent="0.25">
      <c r="O896" s="84">
        <f t="shared" si="19"/>
        <v>90</v>
      </c>
      <c r="P896" s="46"/>
      <c r="Q896" s="49"/>
      <c r="R896" s="18"/>
      <c r="S896" s="47"/>
      <c r="T896" s="18"/>
      <c r="U896" s="51"/>
    </row>
    <row r="897" spans="15:21" x14ac:dyDescent="0.25">
      <c r="O897" s="84">
        <f t="shared" si="19"/>
        <v>90</v>
      </c>
      <c r="P897" s="46"/>
      <c r="Q897" s="49"/>
      <c r="R897" s="18"/>
      <c r="S897" s="47"/>
      <c r="T897" s="18"/>
      <c r="U897" s="51"/>
    </row>
    <row r="898" spans="15:21" x14ac:dyDescent="0.25">
      <c r="O898" s="84">
        <f t="shared" si="19"/>
        <v>90</v>
      </c>
      <c r="P898" s="46"/>
      <c r="Q898" s="49"/>
      <c r="R898" s="18"/>
      <c r="S898" s="47"/>
      <c r="T898" s="18"/>
      <c r="U898" s="51"/>
    </row>
    <row r="899" spans="15:21" x14ac:dyDescent="0.25">
      <c r="O899" s="84">
        <f t="shared" ref="O899:O962" si="20">90-P899</f>
        <v>90</v>
      </c>
      <c r="P899" s="46"/>
      <c r="Q899" s="49"/>
      <c r="R899" s="18"/>
      <c r="S899" s="47"/>
      <c r="T899" s="18"/>
      <c r="U899" s="51"/>
    </row>
    <row r="900" spans="15:21" x14ac:dyDescent="0.25">
      <c r="O900" s="84">
        <f t="shared" si="20"/>
        <v>90</v>
      </c>
      <c r="P900" s="46"/>
      <c r="Q900" s="49"/>
      <c r="R900" s="18"/>
      <c r="S900" s="47"/>
      <c r="T900" s="18"/>
      <c r="U900" s="51"/>
    </row>
    <row r="901" spans="15:21" x14ac:dyDescent="0.25">
      <c r="O901" s="84">
        <f t="shared" si="20"/>
        <v>90</v>
      </c>
      <c r="P901" s="46"/>
      <c r="Q901" s="49"/>
      <c r="R901" s="18"/>
      <c r="S901" s="47"/>
      <c r="T901" s="18"/>
      <c r="U901" s="51"/>
    </row>
    <row r="902" spans="15:21" x14ac:dyDescent="0.25">
      <c r="O902" s="84">
        <f t="shared" si="20"/>
        <v>90</v>
      </c>
      <c r="P902" s="46"/>
      <c r="Q902" s="49"/>
      <c r="R902" s="18"/>
      <c r="S902" s="47"/>
      <c r="T902" s="18"/>
      <c r="U902" s="51"/>
    </row>
    <row r="903" spans="15:21" x14ac:dyDescent="0.25">
      <c r="O903" s="84">
        <f t="shared" si="20"/>
        <v>90</v>
      </c>
      <c r="P903" s="46"/>
      <c r="Q903" s="49"/>
      <c r="R903" s="18"/>
      <c r="S903" s="47"/>
      <c r="T903" s="18"/>
      <c r="U903" s="51"/>
    </row>
    <row r="904" spans="15:21" x14ac:dyDescent="0.25">
      <c r="O904" s="84">
        <f t="shared" si="20"/>
        <v>90</v>
      </c>
      <c r="P904" s="46"/>
      <c r="Q904" s="49"/>
      <c r="R904" s="18"/>
      <c r="S904" s="47"/>
      <c r="T904" s="18"/>
      <c r="U904" s="51"/>
    </row>
    <row r="905" spans="15:21" x14ac:dyDescent="0.25">
      <c r="O905" s="84">
        <f t="shared" si="20"/>
        <v>90</v>
      </c>
      <c r="P905" s="46"/>
      <c r="Q905" s="49"/>
      <c r="R905" s="18"/>
      <c r="S905" s="47"/>
      <c r="T905" s="18"/>
      <c r="U905" s="51"/>
    </row>
    <row r="906" spans="15:21" x14ac:dyDescent="0.25">
      <c r="O906" s="84">
        <f t="shared" si="20"/>
        <v>90</v>
      </c>
      <c r="P906" s="46"/>
      <c r="Q906" s="49"/>
      <c r="R906" s="18"/>
      <c r="S906" s="47"/>
      <c r="T906" s="18"/>
      <c r="U906" s="51"/>
    </row>
    <row r="907" spans="15:21" x14ac:dyDescent="0.25">
      <c r="O907" s="84">
        <f t="shared" si="20"/>
        <v>90</v>
      </c>
      <c r="P907" s="46"/>
      <c r="Q907" s="49"/>
      <c r="R907" s="18"/>
      <c r="S907" s="47"/>
      <c r="T907" s="18"/>
      <c r="U907" s="51"/>
    </row>
    <row r="908" spans="15:21" x14ac:dyDescent="0.25">
      <c r="O908" s="84">
        <f t="shared" si="20"/>
        <v>90</v>
      </c>
      <c r="P908" s="46"/>
      <c r="Q908" s="49"/>
      <c r="R908" s="18"/>
      <c r="S908" s="47"/>
      <c r="T908" s="18"/>
      <c r="U908" s="51"/>
    </row>
    <row r="909" spans="15:21" x14ac:dyDescent="0.25">
      <c r="O909" s="84">
        <f t="shared" si="20"/>
        <v>90</v>
      </c>
      <c r="P909" s="46"/>
      <c r="Q909" s="49"/>
      <c r="R909" s="18"/>
      <c r="S909" s="47"/>
      <c r="T909" s="18"/>
      <c r="U909" s="51"/>
    </row>
    <row r="910" spans="15:21" x14ac:dyDescent="0.25">
      <c r="O910" s="84">
        <f t="shared" si="20"/>
        <v>90</v>
      </c>
      <c r="P910" s="46"/>
      <c r="Q910" s="49"/>
      <c r="R910" s="18"/>
      <c r="S910" s="47"/>
      <c r="T910" s="18"/>
      <c r="U910" s="51"/>
    </row>
    <row r="911" spans="15:21" x14ac:dyDescent="0.25">
      <c r="O911" s="84">
        <f t="shared" si="20"/>
        <v>90</v>
      </c>
      <c r="P911" s="46"/>
      <c r="Q911" s="49"/>
      <c r="R911" s="18"/>
      <c r="S911" s="47"/>
      <c r="T911" s="18"/>
      <c r="U911" s="51"/>
    </row>
    <row r="912" spans="15:21" x14ac:dyDescent="0.25">
      <c r="O912" s="84">
        <f t="shared" si="20"/>
        <v>90</v>
      </c>
      <c r="P912" s="46"/>
      <c r="Q912" s="49"/>
      <c r="R912" s="18"/>
      <c r="S912" s="47"/>
      <c r="T912" s="18"/>
      <c r="U912" s="51"/>
    </row>
    <row r="913" spans="15:21" x14ac:dyDescent="0.25">
      <c r="O913" s="84">
        <f t="shared" si="20"/>
        <v>90</v>
      </c>
      <c r="P913" s="46"/>
      <c r="Q913" s="49"/>
      <c r="R913" s="18"/>
      <c r="S913" s="47"/>
      <c r="T913" s="18"/>
      <c r="U913" s="51"/>
    </row>
    <row r="914" spans="15:21" x14ac:dyDescent="0.25">
      <c r="O914" s="84">
        <f t="shared" si="20"/>
        <v>90</v>
      </c>
      <c r="P914" s="46"/>
      <c r="Q914" s="49"/>
      <c r="R914" s="18"/>
      <c r="S914" s="47"/>
      <c r="T914" s="18"/>
      <c r="U914" s="51"/>
    </row>
    <row r="915" spans="15:21" x14ac:dyDescent="0.25">
      <c r="O915" s="84">
        <f t="shared" si="20"/>
        <v>90</v>
      </c>
      <c r="P915" s="46"/>
      <c r="Q915" s="49"/>
      <c r="R915" s="18"/>
      <c r="S915" s="47"/>
      <c r="T915" s="18"/>
      <c r="U915" s="51"/>
    </row>
    <row r="916" spans="15:21" x14ac:dyDescent="0.25">
      <c r="O916" s="84">
        <f t="shared" si="20"/>
        <v>90</v>
      </c>
      <c r="P916" s="46"/>
      <c r="Q916" s="49"/>
      <c r="R916" s="18"/>
      <c r="S916" s="47"/>
      <c r="T916" s="18"/>
      <c r="U916" s="51"/>
    </row>
    <row r="917" spans="15:21" x14ac:dyDescent="0.25">
      <c r="O917" s="84">
        <f t="shared" si="20"/>
        <v>90</v>
      </c>
      <c r="P917" s="46"/>
      <c r="Q917" s="49"/>
      <c r="R917" s="18"/>
      <c r="S917" s="47"/>
      <c r="T917" s="18"/>
      <c r="U917" s="51"/>
    </row>
    <row r="918" spans="15:21" x14ac:dyDescent="0.25">
      <c r="O918" s="84">
        <f t="shared" si="20"/>
        <v>90</v>
      </c>
      <c r="P918" s="46"/>
      <c r="Q918" s="49"/>
      <c r="R918" s="18"/>
      <c r="S918" s="47"/>
      <c r="T918" s="18"/>
      <c r="U918" s="51"/>
    </row>
    <row r="919" spans="15:21" x14ac:dyDescent="0.25">
      <c r="O919" s="84">
        <f t="shared" si="20"/>
        <v>90</v>
      </c>
      <c r="P919" s="46"/>
      <c r="Q919" s="49"/>
      <c r="R919" s="18"/>
      <c r="S919" s="47"/>
      <c r="T919" s="18"/>
      <c r="U919" s="51"/>
    </row>
    <row r="920" spans="15:21" x14ac:dyDescent="0.25">
      <c r="O920" s="84">
        <f t="shared" si="20"/>
        <v>90</v>
      </c>
      <c r="P920" s="46"/>
      <c r="Q920" s="49"/>
      <c r="R920" s="18"/>
      <c r="S920" s="47"/>
      <c r="T920" s="18"/>
      <c r="U920" s="51"/>
    </row>
    <row r="921" spans="15:21" x14ac:dyDescent="0.25">
      <c r="O921" s="84">
        <f t="shared" si="20"/>
        <v>90</v>
      </c>
      <c r="P921" s="46"/>
      <c r="Q921" s="49"/>
      <c r="R921" s="18"/>
      <c r="S921" s="47"/>
      <c r="T921" s="18"/>
      <c r="U921" s="51"/>
    </row>
    <row r="922" spans="15:21" x14ac:dyDescent="0.25">
      <c r="O922" s="84">
        <f t="shared" si="20"/>
        <v>90</v>
      </c>
      <c r="P922" s="46"/>
      <c r="Q922" s="49"/>
      <c r="R922" s="18"/>
      <c r="S922" s="47"/>
      <c r="T922" s="18"/>
      <c r="U922" s="51"/>
    </row>
    <row r="923" spans="15:21" x14ac:dyDescent="0.25">
      <c r="O923" s="84">
        <f t="shared" si="20"/>
        <v>90</v>
      </c>
      <c r="P923" s="46"/>
      <c r="Q923" s="49"/>
      <c r="R923" s="18"/>
      <c r="S923" s="47"/>
      <c r="T923" s="18"/>
      <c r="U923" s="51"/>
    </row>
    <row r="924" spans="15:21" x14ac:dyDescent="0.25">
      <c r="O924" s="84">
        <f t="shared" si="20"/>
        <v>90</v>
      </c>
      <c r="P924" s="46"/>
      <c r="Q924" s="49"/>
      <c r="R924" s="18"/>
      <c r="S924" s="47"/>
      <c r="T924" s="18"/>
      <c r="U924" s="51"/>
    </row>
    <row r="925" spans="15:21" x14ac:dyDescent="0.25">
      <c r="O925" s="84">
        <f t="shared" si="20"/>
        <v>90</v>
      </c>
      <c r="P925" s="46"/>
      <c r="Q925" s="49"/>
      <c r="R925" s="18"/>
      <c r="S925" s="47"/>
      <c r="T925" s="18"/>
      <c r="U925" s="51"/>
    </row>
    <row r="926" spans="15:21" x14ac:dyDescent="0.25">
      <c r="O926" s="84">
        <f t="shared" si="20"/>
        <v>90</v>
      </c>
      <c r="P926" s="46"/>
      <c r="Q926" s="49"/>
      <c r="R926" s="18"/>
      <c r="S926" s="47"/>
      <c r="T926" s="18"/>
      <c r="U926" s="51"/>
    </row>
    <row r="927" spans="15:21" x14ac:dyDescent="0.25">
      <c r="O927" s="84">
        <f t="shared" si="20"/>
        <v>90</v>
      </c>
      <c r="P927" s="46"/>
      <c r="Q927" s="49"/>
      <c r="R927" s="18"/>
      <c r="S927" s="47"/>
      <c r="T927" s="18"/>
      <c r="U927" s="51"/>
    </row>
    <row r="928" spans="15:21" x14ac:dyDescent="0.25">
      <c r="O928" s="84">
        <f t="shared" si="20"/>
        <v>90</v>
      </c>
      <c r="P928" s="46"/>
      <c r="Q928" s="49"/>
      <c r="R928" s="18"/>
      <c r="S928" s="47"/>
      <c r="T928" s="18"/>
      <c r="U928" s="51"/>
    </row>
    <row r="929" spans="15:21" x14ac:dyDescent="0.25">
      <c r="O929" s="84">
        <f t="shared" si="20"/>
        <v>90</v>
      </c>
      <c r="P929" s="46"/>
      <c r="Q929" s="49"/>
      <c r="R929" s="18"/>
      <c r="S929" s="47"/>
      <c r="T929" s="18"/>
      <c r="U929" s="51"/>
    </row>
    <row r="930" spans="15:21" x14ac:dyDescent="0.25">
      <c r="O930" s="84">
        <f t="shared" si="20"/>
        <v>90</v>
      </c>
      <c r="P930" s="46"/>
      <c r="Q930" s="49"/>
      <c r="R930" s="18"/>
      <c r="S930" s="47"/>
      <c r="T930" s="18"/>
      <c r="U930" s="51"/>
    </row>
    <row r="931" spans="15:21" x14ac:dyDescent="0.25">
      <c r="O931" s="84">
        <f t="shared" si="20"/>
        <v>90</v>
      </c>
      <c r="P931" s="46"/>
      <c r="Q931" s="49"/>
      <c r="R931" s="18"/>
      <c r="S931" s="47"/>
      <c r="T931" s="18"/>
      <c r="U931" s="51"/>
    </row>
    <row r="932" spans="15:21" x14ac:dyDescent="0.25">
      <c r="O932" s="84">
        <f t="shared" si="20"/>
        <v>90</v>
      </c>
      <c r="P932" s="46"/>
      <c r="Q932" s="49"/>
      <c r="R932" s="18"/>
      <c r="S932" s="47"/>
      <c r="T932" s="18"/>
      <c r="U932" s="51"/>
    </row>
    <row r="933" spans="15:21" x14ac:dyDescent="0.25">
      <c r="O933" s="84">
        <f t="shared" si="20"/>
        <v>90</v>
      </c>
      <c r="P933" s="46"/>
      <c r="Q933" s="49"/>
      <c r="R933" s="18"/>
      <c r="S933" s="47"/>
      <c r="T933" s="18"/>
      <c r="U933" s="51"/>
    </row>
    <row r="934" spans="15:21" x14ac:dyDescent="0.25">
      <c r="O934" s="84">
        <f t="shared" si="20"/>
        <v>90</v>
      </c>
      <c r="P934" s="46"/>
      <c r="Q934" s="49"/>
      <c r="R934" s="18"/>
      <c r="S934" s="47"/>
      <c r="T934" s="18"/>
      <c r="U934" s="51"/>
    </row>
    <row r="935" spans="15:21" x14ac:dyDescent="0.25">
      <c r="O935" s="84">
        <f t="shared" si="20"/>
        <v>90</v>
      </c>
      <c r="P935" s="46"/>
      <c r="Q935" s="49"/>
      <c r="R935" s="18"/>
      <c r="S935" s="47"/>
      <c r="T935" s="18"/>
      <c r="U935" s="51"/>
    </row>
    <row r="936" spans="15:21" x14ac:dyDescent="0.25">
      <c r="O936" s="84">
        <f t="shared" si="20"/>
        <v>90</v>
      </c>
      <c r="P936" s="46"/>
      <c r="Q936" s="49"/>
      <c r="R936" s="18"/>
      <c r="S936" s="47"/>
      <c r="T936" s="18"/>
      <c r="U936" s="51"/>
    </row>
    <row r="937" spans="15:21" x14ac:dyDescent="0.25">
      <c r="O937" s="84">
        <f t="shared" si="20"/>
        <v>90</v>
      </c>
      <c r="P937" s="46"/>
      <c r="Q937" s="49"/>
      <c r="R937" s="18"/>
      <c r="S937" s="47"/>
      <c r="T937" s="18"/>
      <c r="U937" s="51"/>
    </row>
    <row r="938" spans="15:21" x14ac:dyDescent="0.25">
      <c r="O938" s="84">
        <f t="shared" si="20"/>
        <v>90</v>
      </c>
      <c r="P938" s="46"/>
      <c r="Q938" s="49"/>
      <c r="R938" s="18"/>
      <c r="S938" s="47"/>
      <c r="T938" s="18"/>
      <c r="U938" s="51"/>
    </row>
    <row r="939" spans="15:21" x14ac:dyDescent="0.25">
      <c r="O939" s="84">
        <f t="shared" si="20"/>
        <v>90</v>
      </c>
      <c r="P939" s="46"/>
      <c r="Q939" s="49"/>
      <c r="R939" s="18"/>
      <c r="S939" s="47"/>
      <c r="T939" s="18"/>
      <c r="U939" s="51"/>
    </row>
    <row r="940" spans="15:21" x14ac:dyDescent="0.25">
      <c r="O940" s="84">
        <f t="shared" si="20"/>
        <v>90</v>
      </c>
      <c r="P940" s="46"/>
      <c r="Q940" s="49"/>
      <c r="R940" s="18"/>
      <c r="S940" s="47"/>
      <c r="T940" s="18"/>
      <c r="U940" s="51"/>
    </row>
    <row r="941" spans="15:21" x14ac:dyDescent="0.25">
      <c r="O941" s="84">
        <f t="shared" si="20"/>
        <v>90</v>
      </c>
      <c r="P941" s="46"/>
      <c r="Q941" s="49"/>
      <c r="R941" s="18"/>
      <c r="S941" s="47"/>
      <c r="T941" s="18"/>
      <c r="U941" s="51"/>
    </row>
    <row r="942" spans="15:21" x14ac:dyDescent="0.25">
      <c r="O942" s="84">
        <f t="shared" si="20"/>
        <v>90</v>
      </c>
      <c r="P942" s="46"/>
      <c r="Q942" s="49"/>
      <c r="R942" s="18"/>
      <c r="S942" s="47"/>
      <c r="T942" s="18"/>
      <c r="U942" s="51"/>
    </row>
    <row r="943" spans="15:21" x14ac:dyDescent="0.25">
      <c r="O943" s="84">
        <f t="shared" si="20"/>
        <v>90</v>
      </c>
      <c r="P943" s="46"/>
      <c r="Q943" s="49"/>
      <c r="R943" s="18"/>
      <c r="S943" s="47"/>
      <c r="T943" s="18"/>
      <c r="U943" s="51"/>
    </row>
    <row r="944" spans="15:21" x14ac:dyDescent="0.25">
      <c r="O944" s="84">
        <f t="shared" si="20"/>
        <v>90</v>
      </c>
      <c r="P944" s="46"/>
      <c r="Q944" s="49"/>
      <c r="R944" s="18"/>
      <c r="S944" s="47"/>
      <c r="T944" s="18"/>
      <c r="U944" s="51"/>
    </row>
    <row r="945" spans="15:21" x14ac:dyDescent="0.25">
      <c r="O945" s="84">
        <f t="shared" si="20"/>
        <v>90</v>
      </c>
      <c r="P945" s="46"/>
      <c r="Q945" s="49"/>
      <c r="R945" s="18"/>
      <c r="S945" s="47"/>
      <c r="T945" s="18"/>
      <c r="U945" s="51"/>
    </row>
    <row r="946" spans="15:21" x14ac:dyDescent="0.25">
      <c r="O946" s="84">
        <f t="shared" si="20"/>
        <v>90</v>
      </c>
      <c r="P946" s="46"/>
      <c r="Q946" s="49"/>
      <c r="R946" s="18"/>
      <c r="S946" s="47"/>
      <c r="T946" s="18"/>
      <c r="U946" s="51"/>
    </row>
    <row r="947" spans="15:21" x14ac:dyDescent="0.25">
      <c r="O947" s="84">
        <f t="shared" si="20"/>
        <v>90</v>
      </c>
      <c r="P947" s="46"/>
      <c r="Q947" s="49"/>
      <c r="R947" s="18"/>
      <c r="S947" s="47"/>
      <c r="T947" s="18"/>
      <c r="U947" s="51"/>
    </row>
    <row r="948" spans="15:21" x14ac:dyDescent="0.25">
      <c r="O948" s="84">
        <f t="shared" si="20"/>
        <v>90</v>
      </c>
      <c r="P948" s="46"/>
      <c r="Q948" s="49"/>
      <c r="R948" s="18"/>
      <c r="S948" s="47"/>
      <c r="T948" s="18"/>
      <c r="U948" s="51"/>
    </row>
    <row r="949" spans="15:21" x14ac:dyDescent="0.25">
      <c r="O949" s="84">
        <f t="shared" si="20"/>
        <v>90</v>
      </c>
      <c r="P949" s="46"/>
      <c r="Q949" s="49"/>
      <c r="R949" s="18"/>
      <c r="S949" s="47"/>
      <c r="T949" s="18"/>
      <c r="U949" s="51"/>
    </row>
    <row r="950" spans="15:21" x14ac:dyDescent="0.25">
      <c r="O950" s="84">
        <f t="shared" si="20"/>
        <v>90</v>
      </c>
      <c r="P950" s="46"/>
      <c r="Q950" s="49"/>
      <c r="R950" s="18"/>
      <c r="S950" s="47"/>
      <c r="T950" s="18"/>
      <c r="U950" s="51"/>
    </row>
    <row r="951" spans="15:21" x14ac:dyDescent="0.25">
      <c r="O951" s="84">
        <f t="shared" si="20"/>
        <v>90</v>
      </c>
      <c r="P951" s="46"/>
      <c r="Q951" s="49"/>
      <c r="R951" s="18"/>
      <c r="S951" s="47"/>
      <c r="T951" s="18"/>
      <c r="U951" s="51"/>
    </row>
    <row r="952" spans="15:21" x14ac:dyDescent="0.25">
      <c r="O952" s="84">
        <f t="shared" si="20"/>
        <v>90</v>
      </c>
      <c r="P952" s="46"/>
      <c r="Q952" s="49"/>
      <c r="R952" s="18"/>
      <c r="S952" s="47"/>
      <c r="T952" s="18"/>
      <c r="U952" s="51"/>
    </row>
    <row r="953" spans="15:21" x14ac:dyDescent="0.25">
      <c r="O953" s="84">
        <f t="shared" si="20"/>
        <v>90</v>
      </c>
      <c r="P953" s="46"/>
      <c r="Q953" s="49"/>
      <c r="R953" s="18"/>
      <c r="S953" s="47"/>
      <c r="T953" s="18"/>
      <c r="U953" s="51"/>
    </row>
    <row r="954" spans="15:21" x14ac:dyDescent="0.25">
      <c r="O954" s="84">
        <f t="shared" si="20"/>
        <v>90</v>
      </c>
      <c r="P954" s="46"/>
      <c r="Q954" s="49"/>
      <c r="R954" s="18"/>
      <c r="S954" s="47"/>
      <c r="T954" s="18"/>
      <c r="U954" s="51"/>
    </row>
    <row r="955" spans="15:21" x14ac:dyDescent="0.25">
      <c r="O955" s="84">
        <f t="shared" si="20"/>
        <v>90</v>
      </c>
      <c r="P955" s="46"/>
      <c r="Q955" s="49"/>
      <c r="R955" s="18"/>
      <c r="S955" s="47"/>
      <c r="T955" s="18"/>
      <c r="U955" s="51"/>
    </row>
    <row r="956" spans="15:21" x14ac:dyDescent="0.25">
      <c r="O956" s="84">
        <f t="shared" si="20"/>
        <v>90</v>
      </c>
      <c r="P956" s="46"/>
      <c r="Q956" s="49"/>
      <c r="R956" s="18"/>
      <c r="S956" s="47"/>
      <c r="T956" s="18"/>
      <c r="U956" s="51"/>
    </row>
    <row r="957" spans="15:21" x14ac:dyDescent="0.25">
      <c r="O957" s="84">
        <f t="shared" si="20"/>
        <v>90</v>
      </c>
      <c r="P957" s="46"/>
      <c r="Q957" s="49"/>
      <c r="R957" s="18"/>
      <c r="S957" s="47"/>
      <c r="T957" s="18"/>
      <c r="U957" s="51"/>
    </row>
    <row r="958" spans="15:21" x14ac:dyDescent="0.25">
      <c r="O958" s="84">
        <f t="shared" si="20"/>
        <v>90</v>
      </c>
      <c r="P958" s="46"/>
      <c r="Q958" s="49"/>
      <c r="R958" s="18"/>
      <c r="S958" s="47"/>
      <c r="T958" s="18"/>
      <c r="U958" s="51"/>
    </row>
    <row r="959" spans="15:21" x14ac:dyDescent="0.25">
      <c r="O959" s="84">
        <f t="shared" si="20"/>
        <v>90</v>
      </c>
      <c r="P959" s="46"/>
      <c r="Q959" s="49"/>
      <c r="R959" s="18"/>
      <c r="S959" s="47"/>
      <c r="T959" s="18"/>
      <c r="U959" s="51"/>
    </row>
    <row r="960" spans="15:21" x14ac:dyDescent="0.25">
      <c r="O960" s="84">
        <f t="shared" si="20"/>
        <v>90</v>
      </c>
      <c r="P960" s="46"/>
      <c r="Q960" s="49"/>
      <c r="R960" s="18"/>
      <c r="S960" s="47"/>
      <c r="T960" s="18"/>
      <c r="U960" s="51"/>
    </row>
    <row r="961" spans="15:21" x14ac:dyDescent="0.25">
      <c r="O961" s="84">
        <f t="shared" si="20"/>
        <v>90</v>
      </c>
      <c r="P961" s="46"/>
      <c r="Q961" s="49"/>
      <c r="R961" s="18"/>
      <c r="S961" s="47"/>
      <c r="T961" s="18"/>
      <c r="U961" s="51"/>
    </row>
    <row r="962" spans="15:21" x14ac:dyDescent="0.25">
      <c r="O962" s="84">
        <f t="shared" si="20"/>
        <v>90</v>
      </c>
      <c r="P962" s="46"/>
      <c r="Q962" s="49"/>
      <c r="R962" s="18"/>
      <c r="S962" s="47"/>
      <c r="T962" s="18"/>
      <c r="U962" s="51"/>
    </row>
    <row r="963" spans="15:21" x14ac:dyDescent="0.25">
      <c r="O963" s="84">
        <f t="shared" ref="O963:O1026" si="21">90-P963</f>
        <v>90</v>
      </c>
      <c r="P963" s="46"/>
      <c r="Q963" s="49"/>
      <c r="R963" s="18"/>
      <c r="S963" s="47"/>
      <c r="T963" s="18"/>
      <c r="U963" s="51"/>
    </row>
    <row r="964" spans="15:21" x14ac:dyDescent="0.25">
      <c r="O964" s="84">
        <f t="shared" si="21"/>
        <v>90</v>
      </c>
      <c r="P964" s="46"/>
      <c r="Q964" s="49"/>
      <c r="R964" s="18"/>
      <c r="S964" s="47"/>
      <c r="T964" s="18"/>
      <c r="U964" s="51"/>
    </row>
    <row r="965" spans="15:21" x14ac:dyDescent="0.25">
      <c r="O965" s="84">
        <f t="shared" si="21"/>
        <v>90</v>
      </c>
      <c r="P965" s="46"/>
      <c r="Q965" s="49"/>
      <c r="R965" s="18"/>
      <c r="S965" s="47"/>
      <c r="T965" s="18"/>
      <c r="U965" s="51"/>
    </row>
    <row r="966" spans="15:21" x14ac:dyDescent="0.25">
      <c r="O966" s="84">
        <f t="shared" si="21"/>
        <v>90</v>
      </c>
      <c r="P966" s="46"/>
      <c r="Q966" s="49"/>
      <c r="R966" s="18"/>
      <c r="S966" s="47"/>
      <c r="T966" s="18"/>
      <c r="U966" s="51"/>
    </row>
    <row r="967" spans="15:21" x14ac:dyDescent="0.25">
      <c r="O967" s="84">
        <f t="shared" si="21"/>
        <v>90</v>
      </c>
      <c r="P967" s="46"/>
      <c r="Q967" s="49"/>
      <c r="R967" s="18"/>
      <c r="S967" s="47"/>
      <c r="T967" s="18"/>
      <c r="U967" s="51"/>
    </row>
    <row r="968" spans="15:21" x14ac:dyDescent="0.25">
      <c r="O968" s="84">
        <f t="shared" si="21"/>
        <v>90</v>
      </c>
      <c r="P968" s="46"/>
      <c r="Q968" s="49"/>
      <c r="R968" s="18"/>
      <c r="S968" s="47"/>
      <c r="T968" s="18"/>
      <c r="U968" s="51"/>
    </row>
    <row r="969" spans="15:21" x14ac:dyDescent="0.25">
      <c r="O969" s="84">
        <f t="shared" si="21"/>
        <v>90</v>
      </c>
      <c r="P969" s="46"/>
      <c r="Q969" s="49"/>
      <c r="R969" s="18"/>
      <c r="S969" s="47"/>
      <c r="T969" s="18"/>
      <c r="U969" s="51"/>
    </row>
    <row r="970" spans="15:21" x14ac:dyDescent="0.25">
      <c r="O970" s="84">
        <f t="shared" si="21"/>
        <v>90</v>
      </c>
      <c r="P970" s="46"/>
      <c r="Q970" s="49"/>
      <c r="R970" s="18"/>
      <c r="S970" s="47"/>
      <c r="T970" s="18"/>
      <c r="U970" s="51"/>
    </row>
    <row r="971" spans="15:21" x14ac:dyDescent="0.25">
      <c r="O971" s="84">
        <f t="shared" si="21"/>
        <v>90</v>
      </c>
      <c r="P971" s="46"/>
      <c r="Q971" s="49"/>
      <c r="R971" s="18"/>
      <c r="S971" s="47"/>
      <c r="T971" s="18"/>
      <c r="U971" s="51"/>
    </row>
    <row r="972" spans="15:21" x14ac:dyDescent="0.25">
      <c r="O972" s="84">
        <f t="shared" si="21"/>
        <v>90</v>
      </c>
      <c r="P972" s="46"/>
      <c r="Q972" s="49"/>
      <c r="R972" s="18"/>
      <c r="S972" s="47"/>
      <c r="T972" s="18"/>
      <c r="U972" s="51"/>
    </row>
    <row r="973" spans="15:21" x14ac:dyDescent="0.25">
      <c r="O973" s="84">
        <f t="shared" si="21"/>
        <v>90</v>
      </c>
      <c r="P973" s="46"/>
      <c r="Q973" s="49"/>
      <c r="R973" s="18"/>
      <c r="S973" s="47"/>
      <c r="T973" s="18"/>
      <c r="U973" s="51"/>
    </row>
    <row r="974" spans="15:21" x14ac:dyDescent="0.25">
      <c r="O974" s="84">
        <f t="shared" si="21"/>
        <v>90</v>
      </c>
      <c r="P974" s="46"/>
      <c r="Q974" s="49"/>
      <c r="R974" s="18"/>
      <c r="S974" s="47"/>
      <c r="T974" s="18"/>
      <c r="U974" s="51"/>
    </row>
    <row r="975" spans="15:21" x14ac:dyDescent="0.25">
      <c r="O975" s="84">
        <f t="shared" si="21"/>
        <v>90</v>
      </c>
      <c r="P975" s="46"/>
      <c r="Q975" s="49"/>
      <c r="R975" s="18"/>
      <c r="S975" s="47"/>
      <c r="T975" s="18"/>
      <c r="U975" s="51"/>
    </row>
    <row r="976" spans="15:21" x14ac:dyDescent="0.25">
      <c r="O976" s="84">
        <f t="shared" si="21"/>
        <v>90</v>
      </c>
      <c r="P976" s="46"/>
      <c r="Q976" s="49"/>
      <c r="R976" s="18"/>
      <c r="S976" s="47"/>
      <c r="T976" s="18"/>
      <c r="U976" s="51"/>
    </row>
    <row r="977" spans="15:21" x14ac:dyDescent="0.25">
      <c r="O977" s="84">
        <f t="shared" si="21"/>
        <v>90</v>
      </c>
      <c r="P977" s="46"/>
      <c r="Q977" s="49"/>
      <c r="R977" s="18"/>
      <c r="S977" s="47"/>
      <c r="T977" s="18"/>
      <c r="U977" s="51"/>
    </row>
    <row r="978" spans="15:21" x14ac:dyDescent="0.25">
      <c r="O978" s="84">
        <f t="shared" si="21"/>
        <v>90</v>
      </c>
      <c r="P978" s="46"/>
      <c r="Q978" s="49"/>
      <c r="R978" s="18"/>
      <c r="S978" s="47"/>
      <c r="T978" s="18"/>
      <c r="U978" s="51"/>
    </row>
    <row r="979" spans="15:21" x14ac:dyDescent="0.25">
      <c r="O979" s="84">
        <f t="shared" si="21"/>
        <v>90</v>
      </c>
      <c r="P979" s="46"/>
      <c r="Q979" s="49"/>
      <c r="R979" s="18"/>
      <c r="S979" s="47"/>
      <c r="T979" s="18"/>
      <c r="U979" s="51"/>
    </row>
    <row r="980" spans="15:21" x14ac:dyDescent="0.25">
      <c r="O980" s="84">
        <f t="shared" si="21"/>
        <v>90</v>
      </c>
      <c r="P980" s="46"/>
      <c r="Q980" s="49"/>
      <c r="R980" s="18"/>
      <c r="S980" s="47"/>
      <c r="T980" s="18"/>
      <c r="U980" s="51"/>
    </row>
    <row r="981" spans="15:21" x14ac:dyDescent="0.25">
      <c r="O981" s="84">
        <f t="shared" si="21"/>
        <v>90</v>
      </c>
      <c r="P981" s="46"/>
      <c r="Q981" s="49"/>
      <c r="R981" s="18"/>
      <c r="S981" s="47"/>
      <c r="T981" s="18"/>
      <c r="U981" s="51"/>
    </row>
    <row r="982" spans="15:21" x14ac:dyDescent="0.25">
      <c r="O982" s="84">
        <f t="shared" si="21"/>
        <v>90</v>
      </c>
      <c r="P982" s="46"/>
      <c r="Q982" s="49"/>
      <c r="R982" s="18"/>
      <c r="S982" s="47"/>
      <c r="T982" s="18"/>
      <c r="U982" s="51"/>
    </row>
    <row r="983" spans="15:21" x14ac:dyDescent="0.25">
      <c r="O983" s="84">
        <f t="shared" si="21"/>
        <v>90</v>
      </c>
      <c r="P983" s="46"/>
      <c r="Q983" s="49"/>
      <c r="R983" s="18"/>
      <c r="S983" s="47"/>
      <c r="T983" s="18"/>
      <c r="U983" s="51"/>
    </row>
    <row r="984" spans="15:21" x14ac:dyDescent="0.25">
      <c r="O984" s="84">
        <f t="shared" si="21"/>
        <v>90</v>
      </c>
      <c r="P984" s="46"/>
      <c r="Q984" s="49"/>
      <c r="R984" s="18"/>
      <c r="S984" s="47"/>
      <c r="T984" s="18"/>
      <c r="U984" s="51"/>
    </row>
    <row r="985" spans="15:21" x14ac:dyDescent="0.25">
      <c r="O985" s="84">
        <f t="shared" si="21"/>
        <v>90</v>
      </c>
      <c r="P985" s="46"/>
      <c r="Q985" s="49"/>
      <c r="R985" s="18"/>
      <c r="S985" s="47"/>
      <c r="T985" s="18"/>
      <c r="U985" s="51"/>
    </row>
    <row r="986" spans="15:21" x14ac:dyDescent="0.25">
      <c r="O986" s="84">
        <f t="shared" si="21"/>
        <v>90</v>
      </c>
      <c r="P986" s="46"/>
      <c r="Q986" s="49"/>
      <c r="R986" s="18"/>
      <c r="S986" s="47"/>
      <c r="T986" s="18"/>
      <c r="U986" s="51"/>
    </row>
    <row r="987" spans="15:21" x14ac:dyDescent="0.25">
      <c r="O987" s="84">
        <f t="shared" si="21"/>
        <v>90</v>
      </c>
      <c r="P987" s="46"/>
      <c r="Q987" s="49"/>
      <c r="R987" s="18"/>
      <c r="S987" s="47"/>
      <c r="T987" s="18"/>
      <c r="U987" s="51"/>
    </row>
    <row r="988" spans="15:21" x14ac:dyDescent="0.25">
      <c r="O988" s="84">
        <f t="shared" si="21"/>
        <v>90</v>
      </c>
      <c r="P988" s="46"/>
      <c r="Q988" s="49"/>
      <c r="R988" s="18"/>
      <c r="S988" s="47"/>
      <c r="T988" s="18"/>
      <c r="U988" s="51"/>
    </row>
    <row r="989" spans="15:21" x14ac:dyDescent="0.25">
      <c r="O989" s="84">
        <f t="shared" si="21"/>
        <v>90</v>
      </c>
      <c r="P989" s="46"/>
      <c r="Q989" s="49"/>
      <c r="R989" s="18"/>
      <c r="S989" s="47"/>
      <c r="T989" s="18"/>
      <c r="U989" s="51"/>
    </row>
    <row r="990" spans="15:21" x14ac:dyDescent="0.25">
      <c r="O990" s="84">
        <f t="shared" si="21"/>
        <v>90</v>
      </c>
      <c r="P990" s="46"/>
      <c r="Q990" s="49"/>
      <c r="R990" s="18"/>
      <c r="S990" s="47"/>
      <c r="T990" s="18"/>
      <c r="U990" s="51"/>
    </row>
    <row r="991" spans="15:21" x14ac:dyDescent="0.25">
      <c r="O991" s="84">
        <f t="shared" si="21"/>
        <v>90</v>
      </c>
      <c r="P991" s="46"/>
      <c r="Q991" s="49"/>
      <c r="R991" s="18"/>
      <c r="S991" s="47"/>
      <c r="T991" s="18"/>
      <c r="U991" s="51"/>
    </row>
    <row r="992" spans="15:21" x14ac:dyDescent="0.25">
      <c r="O992" s="84">
        <f t="shared" si="21"/>
        <v>90</v>
      </c>
      <c r="P992" s="46"/>
      <c r="Q992" s="49"/>
      <c r="R992" s="18"/>
      <c r="S992" s="47"/>
      <c r="T992" s="18"/>
      <c r="U992" s="51"/>
    </row>
    <row r="993" spans="15:21" x14ac:dyDescent="0.25">
      <c r="O993" s="84">
        <f t="shared" si="21"/>
        <v>90</v>
      </c>
      <c r="P993" s="46"/>
      <c r="Q993" s="49"/>
      <c r="R993" s="18"/>
      <c r="S993" s="47"/>
      <c r="T993" s="18"/>
      <c r="U993" s="51"/>
    </row>
    <row r="994" spans="15:21" x14ac:dyDescent="0.25">
      <c r="O994" s="84">
        <f t="shared" si="21"/>
        <v>90</v>
      </c>
      <c r="P994" s="46"/>
      <c r="Q994" s="49"/>
      <c r="R994" s="18"/>
      <c r="S994" s="47"/>
      <c r="T994" s="18"/>
      <c r="U994" s="51"/>
    </row>
    <row r="995" spans="15:21" x14ac:dyDescent="0.25">
      <c r="O995" s="84">
        <f t="shared" si="21"/>
        <v>90</v>
      </c>
      <c r="P995" s="46"/>
      <c r="Q995" s="49"/>
      <c r="R995" s="18"/>
      <c r="S995" s="47"/>
      <c r="T995" s="18"/>
      <c r="U995" s="51"/>
    </row>
    <row r="996" spans="15:21" x14ac:dyDescent="0.25">
      <c r="O996" s="84">
        <f t="shared" si="21"/>
        <v>90</v>
      </c>
      <c r="P996" s="46"/>
      <c r="Q996" s="49"/>
      <c r="R996" s="18"/>
      <c r="S996" s="47"/>
      <c r="T996" s="18"/>
      <c r="U996" s="51"/>
    </row>
    <row r="997" spans="15:21" x14ac:dyDescent="0.25">
      <c r="O997" s="84">
        <f t="shared" si="21"/>
        <v>90</v>
      </c>
      <c r="P997" s="46"/>
      <c r="Q997" s="49"/>
      <c r="R997" s="18"/>
      <c r="S997" s="47"/>
      <c r="T997" s="18"/>
      <c r="U997" s="51"/>
    </row>
    <row r="998" spans="15:21" x14ac:dyDescent="0.25">
      <c r="O998" s="84">
        <f t="shared" si="21"/>
        <v>90</v>
      </c>
      <c r="P998" s="46"/>
      <c r="Q998" s="49"/>
      <c r="R998" s="18"/>
      <c r="S998" s="47"/>
      <c r="T998" s="18"/>
      <c r="U998" s="51"/>
    </row>
    <row r="999" spans="15:21" x14ac:dyDescent="0.25">
      <c r="O999" s="84">
        <f t="shared" si="21"/>
        <v>90</v>
      </c>
      <c r="P999" s="46"/>
      <c r="Q999" s="49"/>
      <c r="R999" s="18"/>
      <c r="S999" s="47"/>
      <c r="T999" s="18"/>
      <c r="U999" s="51"/>
    </row>
    <row r="1000" spans="15:21" x14ac:dyDescent="0.25">
      <c r="O1000" s="84">
        <f t="shared" si="21"/>
        <v>90</v>
      </c>
      <c r="P1000" s="46"/>
      <c r="Q1000" s="49"/>
      <c r="R1000" s="18"/>
      <c r="S1000" s="47"/>
      <c r="T1000" s="18"/>
      <c r="U1000" s="51"/>
    </row>
    <row r="1001" spans="15:21" x14ac:dyDescent="0.25">
      <c r="O1001" s="84">
        <f t="shared" si="21"/>
        <v>90</v>
      </c>
    </row>
    <row r="1002" spans="15:21" x14ac:dyDescent="0.25">
      <c r="O1002" s="84">
        <f t="shared" si="21"/>
        <v>90</v>
      </c>
    </row>
    <row r="1003" spans="15:21" x14ac:dyDescent="0.25">
      <c r="O1003" s="84">
        <f t="shared" si="21"/>
        <v>90</v>
      </c>
    </row>
    <row r="1004" spans="15:21" x14ac:dyDescent="0.25">
      <c r="O1004" s="84">
        <f t="shared" si="21"/>
        <v>90</v>
      </c>
    </row>
    <row r="1005" spans="15:21" x14ac:dyDescent="0.25">
      <c r="O1005" s="84">
        <f t="shared" si="21"/>
        <v>90</v>
      </c>
    </row>
    <row r="1006" spans="15:21" x14ac:dyDescent="0.25">
      <c r="O1006" s="84">
        <f t="shared" si="21"/>
        <v>90</v>
      </c>
    </row>
    <row r="1007" spans="15:21" x14ac:dyDescent="0.25">
      <c r="O1007" s="84">
        <f t="shared" si="21"/>
        <v>90</v>
      </c>
    </row>
    <row r="1008" spans="15:21" x14ac:dyDescent="0.25">
      <c r="O1008" s="84">
        <f t="shared" si="21"/>
        <v>90</v>
      </c>
    </row>
    <row r="1009" spans="15:15" x14ac:dyDescent="0.25">
      <c r="O1009" s="84">
        <f t="shared" si="21"/>
        <v>90</v>
      </c>
    </row>
    <row r="1010" spans="15:15" x14ac:dyDescent="0.25">
      <c r="O1010" s="84">
        <f t="shared" si="21"/>
        <v>90</v>
      </c>
    </row>
    <row r="1011" spans="15:15" x14ac:dyDescent="0.25">
      <c r="O1011" s="84">
        <f t="shared" si="21"/>
        <v>90</v>
      </c>
    </row>
    <row r="1012" spans="15:15" x14ac:dyDescent="0.25">
      <c r="O1012" s="84">
        <f t="shared" si="21"/>
        <v>90</v>
      </c>
    </row>
    <row r="1013" spans="15:15" x14ac:dyDescent="0.25">
      <c r="O1013" s="84">
        <f t="shared" si="21"/>
        <v>90</v>
      </c>
    </row>
    <row r="1014" spans="15:15" x14ac:dyDescent="0.25">
      <c r="O1014" s="84">
        <f t="shared" si="21"/>
        <v>90</v>
      </c>
    </row>
    <row r="1015" spans="15:15" x14ac:dyDescent="0.25">
      <c r="O1015" s="84">
        <f t="shared" si="21"/>
        <v>90</v>
      </c>
    </row>
    <row r="1016" spans="15:15" x14ac:dyDescent="0.25">
      <c r="O1016" s="84">
        <f t="shared" si="21"/>
        <v>90</v>
      </c>
    </row>
    <row r="1017" spans="15:15" x14ac:dyDescent="0.25">
      <c r="O1017" s="84">
        <f t="shared" si="21"/>
        <v>90</v>
      </c>
    </row>
    <row r="1018" spans="15:15" x14ac:dyDescent="0.25">
      <c r="O1018" s="84">
        <f t="shared" si="21"/>
        <v>90</v>
      </c>
    </row>
    <row r="1019" spans="15:15" x14ac:dyDescent="0.25">
      <c r="O1019" s="84">
        <f t="shared" si="21"/>
        <v>90</v>
      </c>
    </row>
    <row r="1020" spans="15:15" x14ac:dyDescent="0.25">
      <c r="O1020" s="84">
        <f t="shared" si="21"/>
        <v>90</v>
      </c>
    </row>
    <row r="1021" spans="15:15" x14ac:dyDescent="0.25">
      <c r="O1021" s="84">
        <f t="shared" si="21"/>
        <v>90</v>
      </c>
    </row>
    <row r="1022" spans="15:15" x14ac:dyDescent="0.25">
      <c r="O1022" s="84">
        <f t="shared" si="21"/>
        <v>90</v>
      </c>
    </row>
    <row r="1023" spans="15:15" x14ac:dyDescent="0.25">
      <c r="O1023" s="84">
        <f t="shared" si="21"/>
        <v>90</v>
      </c>
    </row>
    <row r="1024" spans="15:15" x14ac:dyDescent="0.25">
      <c r="O1024" s="84">
        <f t="shared" si="21"/>
        <v>90</v>
      </c>
    </row>
    <row r="1025" spans="15:15" x14ac:dyDescent="0.25">
      <c r="O1025" s="84">
        <f t="shared" si="21"/>
        <v>90</v>
      </c>
    </row>
    <row r="1026" spans="15:15" x14ac:dyDescent="0.25">
      <c r="O1026" s="84">
        <f t="shared" si="21"/>
        <v>90</v>
      </c>
    </row>
    <row r="1027" spans="15:15" x14ac:dyDescent="0.25">
      <c r="O1027" s="84">
        <f t="shared" ref="O1027:O1090" si="22">90-P1027</f>
        <v>90</v>
      </c>
    </row>
    <row r="1028" spans="15:15" x14ac:dyDescent="0.25">
      <c r="O1028" s="84">
        <f t="shared" si="22"/>
        <v>90</v>
      </c>
    </row>
    <row r="1029" spans="15:15" x14ac:dyDescent="0.25">
      <c r="O1029" s="84">
        <f t="shared" si="22"/>
        <v>90</v>
      </c>
    </row>
    <row r="1030" spans="15:15" x14ac:dyDescent="0.25">
      <c r="O1030" s="84">
        <f t="shared" si="22"/>
        <v>90</v>
      </c>
    </row>
    <row r="1031" spans="15:15" x14ac:dyDescent="0.25">
      <c r="O1031" s="84">
        <f t="shared" si="22"/>
        <v>90</v>
      </c>
    </row>
    <row r="1032" spans="15:15" x14ac:dyDescent="0.25">
      <c r="O1032" s="84">
        <f t="shared" si="22"/>
        <v>90</v>
      </c>
    </row>
    <row r="1033" spans="15:15" x14ac:dyDescent="0.25">
      <c r="O1033" s="84">
        <f t="shared" si="22"/>
        <v>90</v>
      </c>
    </row>
    <row r="1034" spans="15:15" x14ac:dyDescent="0.25">
      <c r="O1034" s="84">
        <f t="shared" si="22"/>
        <v>90</v>
      </c>
    </row>
    <row r="1035" spans="15:15" x14ac:dyDescent="0.25">
      <c r="O1035" s="84">
        <f t="shared" si="22"/>
        <v>90</v>
      </c>
    </row>
    <row r="1036" spans="15:15" x14ac:dyDescent="0.25">
      <c r="O1036" s="84">
        <f t="shared" si="22"/>
        <v>90</v>
      </c>
    </row>
    <row r="1037" spans="15:15" x14ac:dyDescent="0.25">
      <c r="O1037" s="84">
        <f t="shared" si="22"/>
        <v>90</v>
      </c>
    </row>
    <row r="1038" spans="15:15" x14ac:dyDescent="0.25">
      <c r="O1038" s="84">
        <f t="shared" si="22"/>
        <v>90</v>
      </c>
    </row>
    <row r="1039" spans="15:15" x14ac:dyDescent="0.25">
      <c r="O1039" s="84">
        <f t="shared" si="22"/>
        <v>90</v>
      </c>
    </row>
    <row r="1040" spans="15:15" x14ac:dyDescent="0.25">
      <c r="O1040" s="84">
        <f t="shared" si="22"/>
        <v>90</v>
      </c>
    </row>
    <row r="1041" spans="15:15" x14ac:dyDescent="0.25">
      <c r="O1041" s="84">
        <f t="shared" si="22"/>
        <v>90</v>
      </c>
    </row>
    <row r="1042" spans="15:15" x14ac:dyDescent="0.25">
      <c r="O1042" s="84">
        <f t="shared" si="22"/>
        <v>90</v>
      </c>
    </row>
    <row r="1043" spans="15:15" x14ac:dyDescent="0.25">
      <c r="O1043" s="84">
        <f t="shared" si="22"/>
        <v>90</v>
      </c>
    </row>
    <row r="1044" spans="15:15" x14ac:dyDescent="0.25">
      <c r="O1044" s="84">
        <f t="shared" si="22"/>
        <v>90</v>
      </c>
    </row>
    <row r="1045" spans="15:15" x14ac:dyDescent="0.25">
      <c r="O1045" s="84">
        <f t="shared" si="22"/>
        <v>90</v>
      </c>
    </row>
    <row r="1046" spans="15:15" x14ac:dyDescent="0.25">
      <c r="O1046" s="84">
        <f t="shared" si="22"/>
        <v>90</v>
      </c>
    </row>
    <row r="1047" spans="15:15" x14ac:dyDescent="0.25">
      <c r="O1047" s="84">
        <f t="shared" si="22"/>
        <v>90</v>
      </c>
    </row>
    <row r="1048" spans="15:15" x14ac:dyDescent="0.25">
      <c r="O1048" s="84">
        <f t="shared" si="22"/>
        <v>90</v>
      </c>
    </row>
    <row r="1049" spans="15:15" x14ac:dyDescent="0.25">
      <c r="O1049" s="84">
        <f t="shared" si="22"/>
        <v>90</v>
      </c>
    </row>
    <row r="1050" spans="15:15" x14ac:dyDescent="0.25">
      <c r="O1050" s="84">
        <f t="shared" si="22"/>
        <v>90</v>
      </c>
    </row>
    <row r="1051" spans="15:15" x14ac:dyDescent="0.25">
      <c r="O1051" s="84">
        <f t="shared" si="22"/>
        <v>90</v>
      </c>
    </row>
    <row r="1052" spans="15:15" x14ac:dyDescent="0.25">
      <c r="O1052" s="84">
        <f t="shared" si="22"/>
        <v>90</v>
      </c>
    </row>
    <row r="1053" spans="15:15" x14ac:dyDescent="0.25">
      <c r="O1053" s="84">
        <f t="shared" si="22"/>
        <v>90</v>
      </c>
    </row>
    <row r="1054" spans="15:15" x14ac:dyDescent="0.25">
      <c r="O1054" s="84">
        <f t="shared" si="22"/>
        <v>90</v>
      </c>
    </row>
    <row r="1055" spans="15:15" x14ac:dyDescent="0.25">
      <c r="O1055" s="84">
        <f t="shared" si="22"/>
        <v>90</v>
      </c>
    </row>
    <row r="1056" spans="15:15" x14ac:dyDescent="0.25">
      <c r="O1056" s="84">
        <f t="shared" si="22"/>
        <v>90</v>
      </c>
    </row>
    <row r="1057" spans="15:15" x14ac:dyDescent="0.25">
      <c r="O1057" s="84">
        <f t="shared" si="22"/>
        <v>90</v>
      </c>
    </row>
    <row r="1058" spans="15:15" x14ac:dyDescent="0.25">
      <c r="O1058" s="84">
        <f t="shared" si="22"/>
        <v>90</v>
      </c>
    </row>
    <row r="1059" spans="15:15" x14ac:dyDescent="0.25">
      <c r="O1059" s="84">
        <f t="shared" si="22"/>
        <v>90</v>
      </c>
    </row>
    <row r="1060" spans="15:15" x14ac:dyDescent="0.25">
      <c r="O1060" s="84">
        <f t="shared" si="22"/>
        <v>90</v>
      </c>
    </row>
    <row r="1061" spans="15:15" x14ac:dyDescent="0.25">
      <c r="O1061" s="84">
        <f t="shared" si="22"/>
        <v>90</v>
      </c>
    </row>
    <row r="1062" spans="15:15" x14ac:dyDescent="0.25">
      <c r="O1062" s="84">
        <f t="shared" si="22"/>
        <v>90</v>
      </c>
    </row>
    <row r="1063" spans="15:15" x14ac:dyDescent="0.25">
      <c r="O1063" s="84">
        <f t="shared" si="22"/>
        <v>90</v>
      </c>
    </row>
    <row r="1064" spans="15:15" x14ac:dyDescent="0.25">
      <c r="O1064" s="84">
        <f t="shared" si="22"/>
        <v>90</v>
      </c>
    </row>
    <row r="1065" spans="15:15" x14ac:dyDescent="0.25">
      <c r="O1065" s="84">
        <f t="shared" si="22"/>
        <v>90</v>
      </c>
    </row>
    <row r="1066" spans="15:15" x14ac:dyDescent="0.25">
      <c r="O1066" s="84">
        <f t="shared" si="22"/>
        <v>90</v>
      </c>
    </row>
    <row r="1067" spans="15:15" x14ac:dyDescent="0.25">
      <c r="O1067" s="84">
        <f t="shared" si="22"/>
        <v>90</v>
      </c>
    </row>
    <row r="1068" spans="15:15" x14ac:dyDescent="0.25">
      <c r="O1068" s="84">
        <f t="shared" si="22"/>
        <v>90</v>
      </c>
    </row>
    <row r="1069" spans="15:15" x14ac:dyDescent="0.25">
      <c r="O1069" s="84">
        <f t="shared" si="22"/>
        <v>90</v>
      </c>
    </row>
    <row r="1070" spans="15:15" x14ac:dyDescent="0.25">
      <c r="O1070" s="84">
        <f t="shared" si="22"/>
        <v>90</v>
      </c>
    </row>
    <row r="1071" spans="15:15" x14ac:dyDescent="0.25">
      <c r="O1071" s="84">
        <f t="shared" si="22"/>
        <v>90</v>
      </c>
    </row>
    <row r="1072" spans="15:15" x14ac:dyDescent="0.25">
      <c r="O1072" s="84">
        <f t="shared" si="22"/>
        <v>90</v>
      </c>
    </row>
    <row r="1073" spans="15:15" x14ac:dyDescent="0.25">
      <c r="O1073" s="84">
        <f t="shared" si="22"/>
        <v>90</v>
      </c>
    </row>
    <row r="1074" spans="15:15" x14ac:dyDescent="0.25">
      <c r="O1074" s="84">
        <f t="shared" si="22"/>
        <v>90</v>
      </c>
    </row>
    <row r="1075" spans="15:15" x14ac:dyDescent="0.25">
      <c r="O1075" s="84">
        <f t="shared" si="22"/>
        <v>90</v>
      </c>
    </row>
    <row r="1076" spans="15:15" x14ac:dyDescent="0.25">
      <c r="O1076" s="84">
        <f t="shared" si="22"/>
        <v>90</v>
      </c>
    </row>
    <row r="1077" spans="15:15" x14ac:dyDescent="0.25">
      <c r="O1077" s="84">
        <f t="shared" si="22"/>
        <v>90</v>
      </c>
    </row>
    <row r="1078" spans="15:15" x14ac:dyDescent="0.25">
      <c r="O1078" s="84">
        <f t="shared" si="22"/>
        <v>90</v>
      </c>
    </row>
    <row r="1079" spans="15:15" x14ac:dyDescent="0.25">
      <c r="O1079" s="84">
        <f t="shared" si="22"/>
        <v>90</v>
      </c>
    </row>
    <row r="1080" spans="15:15" x14ac:dyDescent="0.25">
      <c r="O1080" s="84">
        <f t="shared" si="22"/>
        <v>90</v>
      </c>
    </row>
    <row r="1081" spans="15:15" x14ac:dyDescent="0.25">
      <c r="O1081" s="84">
        <f t="shared" si="22"/>
        <v>90</v>
      </c>
    </row>
    <row r="1082" spans="15:15" x14ac:dyDescent="0.25">
      <c r="O1082" s="84">
        <f t="shared" si="22"/>
        <v>90</v>
      </c>
    </row>
    <row r="1083" spans="15:15" x14ac:dyDescent="0.25">
      <c r="O1083" s="84">
        <f t="shared" si="22"/>
        <v>90</v>
      </c>
    </row>
    <row r="1084" spans="15:15" x14ac:dyDescent="0.25">
      <c r="O1084" s="84">
        <f t="shared" si="22"/>
        <v>90</v>
      </c>
    </row>
    <row r="1085" spans="15:15" x14ac:dyDescent="0.25">
      <c r="O1085" s="84">
        <f t="shared" si="22"/>
        <v>90</v>
      </c>
    </row>
    <row r="1086" spans="15:15" x14ac:dyDescent="0.25">
      <c r="O1086" s="84">
        <f t="shared" si="22"/>
        <v>90</v>
      </c>
    </row>
    <row r="1087" spans="15:15" x14ac:dyDescent="0.25">
      <c r="O1087" s="84">
        <f t="shared" si="22"/>
        <v>90</v>
      </c>
    </row>
    <row r="1088" spans="15:15" x14ac:dyDescent="0.25">
      <c r="O1088" s="84">
        <f t="shared" si="22"/>
        <v>90</v>
      </c>
    </row>
    <row r="1089" spans="15:15" x14ac:dyDescent="0.25">
      <c r="O1089" s="84">
        <f t="shared" si="22"/>
        <v>90</v>
      </c>
    </row>
    <row r="1090" spans="15:15" x14ac:dyDescent="0.25">
      <c r="O1090" s="84">
        <f t="shared" si="22"/>
        <v>90</v>
      </c>
    </row>
    <row r="1091" spans="15:15" x14ac:dyDescent="0.25">
      <c r="O1091" s="84">
        <f t="shared" ref="O1091:O1154" si="23">90-P1091</f>
        <v>90</v>
      </c>
    </row>
    <row r="1092" spans="15:15" x14ac:dyDescent="0.25">
      <c r="O1092" s="84">
        <f t="shared" si="23"/>
        <v>90</v>
      </c>
    </row>
    <row r="1093" spans="15:15" x14ac:dyDescent="0.25">
      <c r="O1093" s="84">
        <f t="shared" si="23"/>
        <v>90</v>
      </c>
    </row>
    <row r="1094" spans="15:15" x14ac:dyDescent="0.25">
      <c r="O1094" s="84">
        <f t="shared" si="23"/>
        <v>90</v>
      </c>
    </row>
    <row r="1095" spans="15:15" x14ac:dyDescent="0.25">
      <c r="O1095" s="84">
        <f t="shared" si="23"/>
        <v>90</v>
      </c>
    </row>
    <row r="1096" spans="15:15" x14ac:dyDescent="0.25">
      <c r="O1096" s="84">
        <f t="shared" si="23"/>
        <v>90</v>
      </c>
    </row>
    <row r="1097" spans="15:15" x14ac:dyDescent="0.25">
      <c r="O1097" s="84">
        <f t="shared" si="23"/>
        <v>90</v>
      </c>
    </row>
    <row r="1098" spans="15:15" x14ac:dyDescent="0.25">
      <c r="O1098" s="84">
        <f t="shared" si="23"/>
        <v>90</v>
      </c>
    </row>
    <row r="1099" spans="15:15" x14ac:dyDescent="0.25">
      <c r="O1099" s="84">
        <f t="shared" si="23"/>
        <v>90</v>
      </c>
    </row>
    <row r="1100" spans="15:15" x14ac:dyDescent="0.25">
      <c r="O1100" s="84">
        <f t="shared" si="23"/>
        <v>90</v>
      </c>
    </row>
    <row r="1101" spans="15:15" x14ac:dyDescent="0.25">
      <c r="O1101" s="84">
        <f t="shared" si="23"/>
        <v>90</v>
      </c>
    </row>
    <row r="1102" spans="15:15" x14ac:dyDescent="0.25">
      <c r="O1102" s="84">
        <f t="shared" si="23"/>
        <v>90</v>
      </c>
    </row>
    <row r="1103" spans="15:15" x14ac:dyDescent="0.25">
      <c r="O1103" s="84">
        <f t="shared" si="23"/>
        <v>90</v>
      </c>
    </row>
    <row r="1104" spans="15:15" x14ac:dyDescent="0.25">
      <c r="O1104" s="84">
        <f t="shared" si="23"/>
        <v>90</v>
      </c>
    </row>
    <row r="1105" spans="15:15" x14ac:dyDescent="0.25">
      <c r="O1105" s="84">
        <f t="shared" si="23"/>
        <v>90</v>
      </c>
    </row>
    <row r="1106" spans="15:15" x14ac:dyDescent="0.25">
      <c r="O1106" s="84">
        <f t="shared" si="23"/>
        <v>90</v>
      </c>
    </row>
    <row r="1107" spans="15:15" x14ac:dyDescent="0.25">
      <c r="O1107" s="84">
        <f t="shared" si="23"/>
        <v>90</v>
      </c>
    </row>
    <row r="1108" spans="15:15" x14ac:dyDescent="0.25">
      <c r="O1108" s="84">
        <f t="shared" si="23"/>
        <v>90</v>
      </c>
    </row>
    <row r="1109" spans="15:15" x14ac:dyDescent="0.25">
      <c r="O1109" s="84">
        <f t="shared" si="23"/>
        <v>90</v>
      </c>
    </row>
    <row r="1110" spans="15:15" x14ac:dyDescent="0.25">
      <c r="O1110" s="84">
        <f t="shared" si="23"/>
        <v>90</v>
      </c>
    </row>
    <row r="1111" spans="15:15" x14ac:dyDescent="0.25">
      <c r="O1111" s="84">
        <f t="shared" si="23"/>
        <v>90</v>
      </c>
    </row>
    <row r="1112" spans="15:15" x14ac:dyDescent="0.25">
      <c r="O1112" s="84">
        <f t="shared" si="23"/>
        <v>90</v>
      </c>
    </row>
    <row r="1113" spans="15:15" x14ac:dyDescent="0.25">
      <c r="O1113" s="84">
        <f t="shared" si="23"/>
        <v>90</v>
      </c>
    </row>
    <row r="1114" spans="15:15" x14ac:dyDescent="0.25">
      <c r="O1114" s="84">
        <f t="shared" si="23"/>
        <v>90</v>
      </c>
    </row>
    <row r="1115" spans="15:15" x14ac:dyDescent="0.25">
      <c r="O1115" s="84">
        <f t="shared" si="23"/>
        <v>90</v>
      </c>
    </row>
    <row r="1116" spans="15:15" x14ac:dyDescent="0.25">
      <c r="O1116" s="84">
        <f t="shared" si="23"/>
        <v>90</v>
      </c>
    </row>
    <row r="1117" spans="15:15" x14ac:dyDescent="0.25">
      <c r="O1117" s="84">
        <f t="shared" si="23"/>
        <v>90</v>
      </c>
    </row>
    <row r="1118" spans="15:15" x14ac:dyDescent="0.25">
      <c r="O1118" s="84">
        <f t="shared" si="23"/>
        <v>90</v>
      </c>
    </row>
    <row r="1119" spans="15:15" x14ac:dyDescent="0.25">
      <c r="O1119" s="84">
        <f t="shared" si="23"/>
        <v>90</v>
      </c>
    </row>
    <row r="1120" spans="15:15" x14ac:dyDescent="0.25">
      <c r="O1120" s="84">
        <f t="shared" si="23"/>
        <v>90</v>
      </c>
    </row>
    <row r="1121" spans="15:15" x14ac:dyDescent="0.25">
      <c r="O1121" s="84">
        <f t="shared" si="23"/>
        <v>90</v>
      </c>
    </row>
    <row r="1122" spans="15:15" x14ac:dyDescent="0.25">
      <c r="O1122" s="84">
        <f t="shared" si="23"/>
        <v>90</v>
      </c>
    </row>
    <row r="1123" spans="15:15" x14ac:dyDescent="0.25">
      <c r="O1123" s="84">
        <f t="shared" si="23"/>
        <v>90</v>
      </c>
    </row>
    <row r="1124" spans="15:15" x14ac:dyDescent="0.25">
      <c r="O1124" s="84">
        <f t="shared" si="23"/>
        <v>90</v>
      </c>
    </row>
    <row r="1125" spans="15:15" x14ac:dyDescent="0.25">
      <c r="O1125" s="84">
        <f t="shared" si="23"/>
        <v>90</v>
      </c>
    </row>
    <row r="1126" spans="15:15" x14ac:dyDescent="0.25">
      <c r="O1126" s="84">
        <f t="shared" si="23"/>
        <v>90</v>
      </c>
    </row>
    <row r="1127" spans="15:15" x14ac:dyDescent="0.25">
      <c r="O1127" s="84">
        <f t="shared" si="23"/>
        <v>90</v>
      </c>
    </row>
    <row r="1128" spans="15:15" x14ac:dyDescent="0.25">
      <c r="O1128" s="84">
        <f t="shared" si="23"/>
        <v>90</v>
      </c>
    </row>
    <row r="1129" spans="15:15" x14ac:dyDescent="0.25">
      <c r="O1129" s="84">
        <f t="shared" si="23"/>
        <v>90</v>
      </c>
    </row>
    <row r="1130" spans="15:15" x14ac:dyDescent="0.25">
      <c r="O1130" s="84">
        <f t="shared" si="23"/>
        <v>90</v>
      </c>
    </row>
    <row r="1131" spans="15:15" x14ac:dyDescent="0.25">
      <c r="O1131" s="84">
        <f t="shared" si="23"/>
        <v>90</v>
      </c>
    </row>
    <row r="1132" spans="15:15" x14ac:dyDescent="0.25">
      <c r="O1132" s="84">
        <f t="shared" si="23"/>
        <v>90</v>
      </c>
    </row>
    <row r="1133" spans="15:15" x14ac:dyDescent="0.25">
      <c r="O1133" s="84">
        <f t="shared" si="23"/>
        <v>90</v>
      </c>
    </row>
    <row r="1134" spans="15:15" x14ac:dyDescent="0.25">
      <c r="O1134" s="84">
        <f t="shared" si="23"/>
        <v>90</v>
      </c>
    </row>
    <row r="1135" spans="15:15" x14ac:dyDescent="0.25">
      <c r="O1135" s="84">
        <f t="shared" si="23"/>
        <v>90</v>
      </c>
    </row>
    <row r="1136" spans="15:15" x14ac:dyDescent="0.25">
      <c r="O1136" s="84">
        <f t="shared" si="23"/>
        <v>90</v>
      </c>
    </row>
    <row r="1137" spans="15:15" x14ac:dyDescent="0.25">
      <c r="O1137" s="84">
        <f t="shared" si="23"/>
        <v>90</v>
      </c>
    </row>
    <row r="1138" spans="15:15" x14ac:dyDescent="0.25">
      <c r="O1138" s="84">
        <f t="shared" si="23"/>
        <v>90</v>
      </c>
    </row>
    <row r="1139" spans="15:15" x14ac:dyDescent="0.25">
      <c r="O1139" s="84">
        <f t="shared" si="23"/>
        <v>90</v>
      </c>
    </row>
    <row r="1140" spans="15:15" x14ac:dyDescent="0.25">
      <c r="O1140" s="84">
        <f t="shared" si="23"/>
        <v>90</v>
      </c>
    </row>
    <row r="1141" spans="15:15" x14ac:dyDescent="0.25">
      <c r="O1141" s="84">
        <f t="shared" si="23"/>
        <v>90</v>
      </c>
    </row>
    <row r="1142" spans="15:15" x14ac:dyDescent="0.25">
      <c r="O1142" s="84">
        <f t="shared" si="23"/>
        <v>90</v>
      </c>
    </row>
    <row r="1143" spans="15:15" x14ac:dyDescent="0.25">
      <c r="O1143" s="84">
        <f t="shared" si="23"/>
        <v>90</v>
      </c>
    </row>
    <row r="1144" spans="15:15" x14ac:dyDescent="0.25">
      <c r="O1144" s="84">
        <f t="shared" si="23"/>
        <v>90</v>
      </c>
    </row>
    <row r="1145" spans="15:15" x14ac:dyDescent="0.25">
      <c r="O1145" s="84">
        <f t="shared" si="23"/>
        <v>90</v>
      </c>
    </row>
    <row r="1146" spans="15:15" x14ac:dyDescent="0.25">
      <c r="O1146" s="84">
        <f t="shared" si="23"/>
        <v>90</v>
      </c>
    </row>
    <row r="1147" spans="15:15" x14ac:dyDescent="0.25">
      <c r="O1147" s="84">
        <f t="shared" si="23"/>
        <v>90</v>
      </c>
    </row>
    <row r="1148" spans="15:15" x14ac:dyDescent="0.25">
      <c r="O1148" s="84">
        <f t="shared" si="23"/>
        <v>90</v>
      </c>
    </row>
    <row r="1149" spans="15:15" x14ac:dyDescent="0.25">
      <c r="O1149" s="84">
        <f t="shared" si="23"/>
        <v>90</v>
      </c>
    </row>
    <row r="1150" spans="15:15" x14ac:dyDescent="0.25">
      <c r="O1150" s="84">
        <f t="shared" si="23"/>
        <v>90</v>
      </c>
    </row>
    <row r="1151" spans="15:15" x14ac:dyDescent="0.25">
      <c r="O1151" s="84">
        <f t="shared" si="23"/>
        <v>90</v>
      </c>
    </row>
    <row r="1152" spans="15:15" x14ac:dyDescent="0.25">
      <c r="O1152" s="84">
        <f t="shared" si="23"/>
        <v>90</v>
      </c>
    </row>
    <row r="1153" spans="15:15" x14ac:dyDescent="0.25">
      <c r="O1153" s="84">
        <f t="shared" si="23"/>
        <v>90</v>
      </c>
    </row>
    <row r="1154" spans="15:15" x14ac:dyDescent="0.25">
      <c r="O1154" s="84">
        <f t="shared" si="23"/>
        <v>90</v>
      </c>
    </row>
    <row r="1155" spans="15:15" x14ac:dyDescent="0.25">
      <c r="O1155" s="84">
        <f t="shared" ref="O1155:O1218" si="24">90-P1155</f>
        <v>90</v>
      </c>
    </row>
    <row r="1156" spans="15:15" x14ac:dyDescent="0.25">
      <c r="O1156" s="84">
        <f t="shared" si="24"/>
        <v>90</v>
      </c>
    </row>
    <row r="1157" spans="15:15" x14ac:dyDescent="0.25">
      <c r="O1157" s="84">
        <f t="shared" si="24"/>
        <v>90</v>
      </c>
    </row>
    <row r="1158" spans="15:15" x14ac:dyDescent="0.25">
      <c r="O1158" s="84">
        <f t="shared" si="24"/>
        <v>90</v>
      </c>
    </row>
    <row r="1159" spans="15:15" x14ac:dyDescent="0.25">
      <c r="O1159" s="84">
        <f t="shared" si="24"/>
        <v>90</v>
      </c>
    </row>
    <row r="1160" spans="15:15" x14ac:dyDescent="0.25">
      <c r="O1160" s="84">
        <f t="shared" si="24"/>
        <v>90</v>
      </c>
    </row>
    <row r="1161" spans="15:15" x14ac:dyDescent="0.25">
      <c r="O1161" s="84">
        <f t="shared" si="24"/>
        <v>90</v>
      </c>
    </row>
    <row r="1162" spans="15:15" x14ac:dyDescent="0.25">
      <c r="O1162" s="84">
        <f t="shared" si="24"/>
        <v>90</v>
      </c>
    </row>
    <row r="1163" spans="15:15" x14ac:dyDescent="0.25">
      <c r="O1163" s="84">
        <f t="shared" si="24"/>
        <v>90</v>
      </c>
    </row>
    <row r="1164" spans="15:15" x14ac:dyDescent="0.25">
      <c r="O1164" s="84">
        <f t="shared" si="24"/>
        <v>90</v>
      </c>
    </row>
    <row r="1165" spans="15:15" x14ac:dyDescent="0.25">
      <c r="O1165" s="84">
        <f t="shared" si="24"/>
        <v>90</v>
      </c>
    </row>
    <row r="1166" spans="15:15" x14ac:dyDescent="0.25">
      <c r="O1166" s="84">
        <f t="shared" si="24"/>
        <v>90</v>
      </c>
    </row>
    <row r="1167" spans="15:15" x14ac:dyDescent="0.25">
      <c r="O1167" s="84">
        <f t="shared" si="24"/>
        <v>90</v>
      </c>
    </row>
    <row r="1168" spans="15:15" x14ac:dyDescent="0.25">
      <c r="O1168" s="84">
        <f t="shared" si="24"/>
        <v>90</v>
      </c>
    </row>
    <row r="1169" spans="15:15" x14ac:dyDescent="0.25">
      <c r="O1169" s="84">
        <f t="shared" si="24"/>
        <v>90</v>
      </c>
    </row>
    <row r="1170" spans="15:15" x14ac:dyDescent="0.25">
      <c r="O1170" s="84">
        <f t="shared" si="24"/>
        <v>90</v>
      </c>
    </row>
    <row r="1171" spans="15:15" x14ac:dyDescent="0.25">
      <c r="O1171" s="84">
        <f t="shared" si="24"/>
        <v>90</v>
      </c>
    </row>
    <row r="1172" spans="15:15" x14ac:dyDescent="0.25">
      <c r="O1172" s="84">
        <f t="shared" si="24"/>
        <v>90</v>
      </c>
    </row>
    <row r="1173" spans="15:15" x14ac:dyDescent="0.25">
      <c r="O1173" s="84">
        <f t="shared" si="24"/>
        <v>90</v>
      </c>
    </row>
    <row r="1174" spans="15:15" x14ac:dyDescent="0.25">
      <c r="O1174" s="84">
        <f t="shared" si="24"/>
        <v>90</v>
      </c>
    </row>
    <row r="1175" spans="15:15" x14ac:dyDescent="0.25">
      <c r="O1175" s="84">
        <f t="shared" si="24"/>
        <v>90</v>
      </c>
    </row>
    <row r="1176" spans="15:15" x14ac:dyDescent="0.25">
      <c r="O1176" s="84">
        <f t="shared" si="24"/>
        <v>90</v>
      </c>
    </row>
    <row r="1177" spans="15:15" x14ac:dyDescent="0.25">
      <c r="O1177" s="84">
        <f t="shared" si="24"/>
        <v>90</v>
      </c>
    </row>
    <row r="1178" spans="15:15" x14ac:dyDescent="0.25">
      <c r="O1178" s="84">
        <f t="shared" si="24"/>
        <v>90</v>
      </c>
    </row>
    <row r="1179" spans="15:15" x14ac:dyDescent="0.25">
      <c r="O1179" s="84">
        <f t="shared" si="24"/>
        <v>90</v>
      </c>
    </row>
    <row r="1180" spans="15:15" x14ac:dyDescent="0.25">
      <c r="O1180" s="84">
        <f t="shared" si="24"/>
        <v>90</v>
      </c>
    </row>
    <row r="1181" spans="15:15" x14ac:dyDescent="0.25">
      <c r="O1181" s="84">
        <f t="shared" si="24"/>
        <v>90</v>
      </c>
    </row>
    <row r="1182" spans="15:15" x14ac:dyDescent="0.25">
      <c r="O1182" s="84">
        <f t="shared" si="24"/>
        <v>90</v>
      </c>
    </row>
    <row r="1183" spans="15:15" x14ac:dyDescent="0.25">
      <c r="O1183" s="84">
        <f t="shared" si="24"/>
        <v>90</v>
      </c>
    </row>
    <row r="1184" spans="15:15" x14ac:dyDescent="0.25">
      <c r="O1184" s="84">
        <f t="shared" si="24"/>
        <v>90</v>
      </c>
    </row>
    <row r="1185" spans="15:15" x14ac:dyDescent="0.25">
      <c r="O1185" s="84">
        <f t="shared" si="24"/>
        <v>90</v>
      </c>
    </row>
    <row r="1186" spans="15:15" x14ac:dyDescent="0.25">
      <c r="O1186" s="84">
        <f t="shared" si="24"/>
        <v>90</v>
      </c>
    </row>
    <row r="1187" spans="15:15" x14ac:dyDescent="0.25">
      <c r="O1187" s="84">
        <f t="shared" si="24"/>
        <v>90</v>
      </c>
    </row>
    <row r="1188" spans="15:15" x14ac:dyDescent="0.25">
      <c r="O1188" s="84">
        <f t="shared" si="24"/>
        <v>90</v>
      </c>
    </row>
    <row r="1189" spans="15:15" x14ac:dyDescent="0.25">
      <c r="O1189" s="84">
        <f t="shared" si="24"/>
        <v>90</v>
      </c>
    </row>
    <row r="1190" spans="15:15" x14ac:dyDescent="0.25">
      <c r="O1190" s="84">
        <f t="shared" si="24"/>
        <v>90</v>
      </c>
    </row>
    <row r="1191" spans="15:15" x14ac:dyDescent="0.25">
      <c r="O1191" s="84">
        <f t="shared" si="24"/>
        <v>90</v>
      </c>
    </row>
    <row r="1192" spans="15:15" x14ac:dyDescent="0.25">
      <c r="O1192" s="84">
        <f t="shared" si="24"/>
        <v>90</v>
      </c>
    </row>
    <row r="1193" spans="15:15" x14ac:dyDescent="0.25">
      <c r="O1193" s="84">
        <f t="shared" si="24"/>
        <v>90</v>
      </c>
    </row>
    <row r="1194" spans="15:15" x14ac:dyDescent="0.25">
      <c r="O1194" s="84">
        <f t="shared" si="24"/>
        <v>90</v>
      </c>
    </row>
    <row r="1195" spans="15:15" x14ac:dyDescent="0.25">
      <c r="O1195" s="84">
        <f t="shared" si="24"/>
        <v>90</v>
      </c>
    </row>
    <row r="1196" spans="15:15" x14ac:dyDescent="0.25">
      <c r="O1196" s="84">
        <f t="shared" si="24"/>
        <v>90</v>
      </c>
    </row>
    <row r="1197" spans="15:15" x14ac:dyDescent="0.25">
      <c r="O1197" s="84">
        <f t="shared" si="24"/>
        <v>90</v>
      </c>
    </row>
    <row r="1198" spans="15:15" x14ac:dyDescent="0.25">
      <c r="O1198" s="84">
        <f t="shared" si="24"/>
        <v>90</v>
      </c>
    </row>
    <row r="1199" spans="15:15" x14ac:dyDescent="0.25">
      <c r="O1199" s="84">
        <f t="shared" si="24"/>
        <v>90</v>
      </c>
    </row>
    <row r="1200" spans="15:15" x14ac:dyDescent="0.25">
      <c r="O1200" s="84">
        <f t="shared" si="24"/>
        <v>90</v>
      </c>
    </row>
    <row r="1201" spans="15:15" x14ac:dyDescent="0.25">
      <c r="O1201" s="84">
        <f t="shared" si="24"/>
        <v>90</v>
      </c>
    </row>
    <row r="1202" spans="15:15" x14ac:dyDescent="0.25">
      <c r="O1202" s="84">
        <f t="shared" si="24"/>
        <v>90</v>
      </c>
    </row>
    <row r="1203" spans="15:15" x14ac:dyDescent="0.25">
      <c r="O1203" s="84">
        <f t="shared" si="24"/>
        <v>90</v>
      </c>
    </row>
    <row r="1204" spans="15:15" x14ac:dyDescent="0.25">
      <c r="O1204" s="84">
        <f t="shared" si="24"/>
        <v>90</v>
      </c>
    </row>
    <row r="1205" spans="15:15" x14ac:dyDescent="0.25">
      <c r="O1205" s="84">
        <f t="shared" si="24"/>
        <v>90</v>
      </c>
    </row>
    <row r="1206" spans="15:15" x14ac:dyDescent="0.25">
      <c r="O1206" s="84">
        <f t="shared" si="24"/>
        <v>90</v>
      </c>
    </row>
    <row r="1207" spans="15:15" x14ac:dyDescent="0.25">
      <c r="O1207" s="84">
        <f t="shared" si="24"/>
        <v>90</v>
      </c>
    </row>
    <row r="1208" spans="15:15" x14ac:dyDescent="0.25">
      <c r="O1208" s="84">
        <f t="shared" si="24"/>
        <v>90</v>
      </c>
    </row>
    <row r="1209" spans="15:15" x14ac:dyDescent="0.25">
      <c r="O1209" s="84">
        <f t="shared" si="24"/>
        <v>90</v>
      </c>
    </row>
    <row r="1210" spans="15:15" x14ac:dyDescent="0.25">
      <c r="O1210" s="84">
        <f t="shared" si="24"/>
        <v>90</v>
      </c>
    </row>
    <row r="1211" spans="15:15" x14ac:dyDescent="0.25">
      <c r="O1211" s="84">
        <f t="shared" si="24"/>
        <v>90</v>
      </c>
    </row>
    <row r="1212" spans="15:15" x14ac:dyDescent="0.25">
      <c r="O1212" s="84">
        <f t="shared" si="24"/>
        <v>90</v>
      </c>
    </row>
    <row r="1213" spans="15:15" x14ac:dyDescent="0.25">
      <c r="O1213" s="84">
        <f t="shared" si="24"/>
        <v>90</v>
      </c>
    </row>
    <row r="1214" spans="15:15" x14ac:dyDescent="0.25">
      <c r="O1214" s="84">
        <f t="shared" si="24"/>
        <v>90</v>
      </c>
    </row>
    <row r="1215" spans="15:15" x14ac:dyDescent="0.25">
      <c r="O1215" s="84">
        <f t="shared" si="24"/>
        <v>90</v>
      </c>
    </row>
    <row r="1216" spans="15:15" x14ac:dyDescent="0.25">
      <c r="O1216" s="84">
        <f t="shared" si="24"/>
        <v>90</v>
      </c>
    </row>
    <row r="1217" spans="15:15" x14ac:dyDescent="0.25">
      <c r="O1217" s="84">
        <f t="shared" si="24"/>
        <v>90</v>
      </c>
    </row>
    <row r="1218" spans="15:15" x14ac:dyDescent="0.25">
      <c r="O1218" s="84">
        <f t="shared" si="24"/>
        <v>90</v>
      </c>
    </row>
    <row r="1219" spans="15:15" x14ac:dyDescent="0.25">
      <c r="O1219" s="84">
        <f t="shared" ref="O1219:O1282" si="25">90-P1219</f>
        <v>90</v>
      </c>
    </row>
    <row r="1220" spans="15:15" x14ac:dyDescent="0.25">
      <c r="O1220" s="84">
        <f t="shared" si="25"/>
        <v>90</v>
      </c>
    </row>
    <row r="1221" spans="15:15" x14ac:dyDescent="0.25">
      <c r="O1221" s="84">
        <f t="shared" si="25"/>
        <v>90</v>
      </c>
    </row>
    <row r="1222" spans="15:15" x14ac:dyDescent="0.25">
      <c r="O1222" s="84">
        <f t="shared" si="25"/>
        <v>90</v>
      </c>
    </row>
    <row r="1223" spans="15:15" x14ac:dyDescent="0.25">
      <c r="O1223" s="84">
        <f t="shared" si="25"/>
        <v>90</v>
      </c>
    </row>
    <row r="1224" spans="15:15" x14ac:dyDescent="0.25">
      <c r="O1224" s="84">
        <f t="shared" si="25"/>
        <v>90</v>
      </c>
    </row>
    <row r="1225" spans="15:15" x14ac:dyDescent="0.25">
      <c r="O1225" s="84">
        <f t="shared" si="25"/>
        <v>90</v>
      </c>
    </row>
    <row r="1226" spans="15:15" x14ac:dyDescent="0.25">
      <c r="O1226" s="84">
        <f t="shared" si="25"/>
        <v>90</v>
      </c>
    </row>
    <row r="1227" spans="15:15" x14ac:dyDescent="0.25">
      <c r="O1227" s="84">
        <f t="shared" si="25"/>
        <v>90</v>
      </c>
    </row>
    <row r="1228" spans="15:15" x14ac:dyDescent="0.25">
      <c r="O1228" s="84">
        <f t="shared" si="25"/>
        <v>90</v>
      </c>
    </row>
    <row r="1229" spans="15:15" x14ac:dyDescent="0.25">
      <c r="O1229" s="84">
        <f t="shared" si="25"/>
        <v>90</v>
      </c>
    </row>
    <row r="1230" spans="15:15" x14ac:dyDescent="0.25">
      <c r="O1230" s="84">
        <f t="shared" si="25"/>
        <v>90</v>
      </c>
    </row>
    <row r="1231" spans="15:15" x14ac:dyDescent="0.25">
      <c r="O1231" s="84">
        <f t="shared" si="25"/>
        <v>90</v>
      </c>
    </row>
    <row r="1232" spans="15:15" x14ac:dyDescent="0.25">
      <c r="O1232" s="84">
        <f t="shared" si="25"/>
        <v>90</v>
      </c>
    </row>
    <row r="1233" spans="15:15" x14ac:dyDescent="0.25">
      <c r="O1233" s="84">
        <f t="shared" si="25"/>
        <v>90</v>
      </c>
    </row>
    <row r="1234" spans="15:15" x14ac:dyDescent="0.25">
      <c r="O1234" s="84">
        <f t="shared" si="25"/>
        <v>90</v>
      </c>
    </row>
    <row r="1235" spans="15:15" x14ac:dyDescent="0.25">
      <c r="O1235" s="84">
        <f t="shared" si="25"/>
        <v>90</v>
      </c>
    </row>
    <row r="1236" spans="15:15" x14ac:dyDescent="0.25">
      <c r="O1236" s="84">
        <f t="shared" si="25"/>
        <v>90</v>
      </c>
    </row>
    <row r="1237" spans="15:15" x14ac:dyDescent="0.25">
      <c r="O1237" s="84">
        <f t="shared" si="25"/>
        <v>90</v>
      </c>
    </row>
    <row r="1238" spans="15:15" x14ac:dyDescent="0.25">
      <c r="O1238" s="84">
        <f t="shared" si="25"/>
        <v>90</v>
      </c>
    </row>
    <row r="1239" spans="15:15" x14ac:dyDescent="0.25">
      <c r="O1239" s="84">
        <f t="shared" si="25"/>
        <v>90</v>
      </c>
    </row>
    <row r="1240" spans="15:15" x14ac:dyDescent="0.25">
      <c r="O1240" s="84">
        <f t="shared" si="25"/>
        <v>90</v>
      </c>
    </row>
    <row r="1241" spans="15:15" x14ac:dyDescent="0.25">
      <c r="O1241" s="84">
        <f t="shared" si="25"/>
        <v>90</v>
      </c>
    </row>
    <row r="1242" spans="15:15" x14ac:dyDescent="0.25">
      <c r="O1242" s="84">
        <f t="shared" si="25"/>
        <v>90</v>
      </c>
    </row>
    <row r="1243" spans="15:15" x14ac:dyDescent="0.25">
      <c r="O1243" s="84">
        <f t="shared" si="25"/>
        <v>90</v>
      </c>
    </row>
    <row r="1244" spans="15:15" x14ac:dyDescent="0.25">
      <c r="O1244" s="84">
        <f t="shared" si="25"/>
        <v>90</v>
      </c>
    </row>
    <row r="1245" spans="15:15" x14ac:dyDescent="0.25">
      <c r="O1245" s="84">
        <f t="shared" si="25"/>
        <v>90</v>
      </c>
    </row>
    <row r="1246" spans="15:15" x14ac:dyDescent="0.25">
      <c r="O1246" s="84">
        <f t="shared" si="25"/>
        <v>90</v>
      </c>
    </row>
    <row r="1247" spans="15:15" x14ac:dyDescent="0.25">
      <c r="O1247" s="84">
        <f t="shared" si="25"/>
        <v>90</v>
      </c>
    </row>
    <row r="1248" spans="15:15" x14ac:dyDescent="0.25">
      <c r="O1248" s="84">
        <f t="shared" si="25"/>
        <v>90</v>
      </c>
    </row>
    <row r="1249" spans="15:15" x14ac:dyDescent="0.25">
      <c r="O1249" s="84">
        <f t="shared" si="25"/>
        <v>90</v>
      </c>
    </row>
    <row r="1250" spans="15:15" x14ac:dyDescent="0.25">
      <c r="O1250" s="84">
        <f t="shared" si="25"/>
        <v>90</v>
      </c>
    </row>
    <row r="1251" spans="15:15" x14ac:dyDescent="0.25">
      <c r="O1251" s="84">
        <f t="shared" si="25"/>
        <v>90</v>
      </c>
    </row>
    <row r="1252" spans="15:15" x14ac:dyDescent="0.25">
      <c r="O1252" s="84">
        <f t="shared" si="25"/>
        <v>90</v>
      </c>
    </row>
    <row r="1253" spans="15:15" x14ac:dyDescent="0.25">
      <c r="O1253" s="84">
        <f t="shared" si="25"/>
        <v>90</v>
      </c>
    </row>
    <row r="1254" spans="15:15" x14ac:dyDescent="0.25">
      <c r="O1254" s="84">
        <f t="shared" si="25"/>
        <v>90</v>
      </c>
    </row>
    <row r="1255" spans="15:15" x14ac:dyDescent="0.25">
      <c r="O1255" s="84">
        <f t="shared" si="25"/>
        <v>90</v>
      </c>
    </row>
    <row r="1256" spans="15:15" x14ac:dyDescent="0.25">
      <c r="O1256" s="84">
        <f t="shared" si="25"/>
        <v>90</v>
      </c>
    </row>
    <row r="1257" spans="15:15" x14ac:dyDescent="0.25">
      <c r="O1257" s="84">
        <f t="shared" si="25"/>
        <v>90</v>
      </c>
    </row>
    <row r="1258" spans="15:15" x14ac:dyDescent="0.25">
      <c r="O1258" s="84">
        <f t="shared" si="25"/>
        <v>90</v>
      </c>
    </row>
    <row r="1259" spans="15:15" x14ac:dyDescent="0.25">
      <c r="O1259" s="84">
        <f t="shared" si="25"/>
        <v>90</v>
      </c>
    </row>
    <row r="1260" spans="15:15" x14ac:dyDescent="0.25">
      <c r="O1260" s="84">
        <f t="shared" si="25"/>
        <v>90</v>
      </c>
    </row>
    <row r="1261" spans="15:15" x14ac:dyDescent="0.25">
      <c r="O1261" s="84">
        <f t="shared" si="25"/>
        <v>90</v>
      </c>
    </row>
    <row r="1262" spans="15:15" x14ac:dyDescent="0.25">
      <c r="O1262" s="84">
        <f t="shared" si="25"/>
        <v>90</v>
      </c>
    </row>
    <row r="1263" spans="15:15" x14ac:dyDescent="0.25">
      <c r="O1263" s="84">
        <f t="shared" si="25"/>
        <v>90</v>
      </c>
    </row>
    <row r="1264" spans="15:15" x14ac:dyDescent="0.25">
      <c r="O1264" s="84">
        <f t="shared" si="25"/>
        <v>90</v>
      </c>
    </row>
    <row r="1265" spans="15:15" x14ac:dyDescent="0.25">
      <c r="O1265" s="84">
        <f t="shared" si="25"/>
        <v>90</v>
      </c>
    </row>
    <row r="1266" spans="15:15" x14ac:dyDescent="0.25">
      <c r="O1266" s="84">
        <f t="shared" si="25"/>
        <v>90</v>
      </c>
    </row>
    <row r="1267" spans="15:15" x14ac:dyDescent="0.25">
      <c r="O1267" s="84">
        <f t="shared" si="25"/>
        <v>90</v>
      </c>
    </row>
    <row r="1268" spans="15:15" x14ac:dyDescent="0.25">
      <c r="O1268" s="84">
        <f t="shared" si="25"/>
        <v>90</v>
      </c>
    </row>
    <row r="1269" spans="15:15" x14ac:dyDescent="0.25">
      <c r="O1269" s="84">
        <f t="shared" si="25"/>
        <v>90</v>
      </c>
    </row>
    <row r="1270" spans="15:15" x14ac:dyDescent="0.25">
      <c r="O1270" s="84">
        <f t="shared" si="25"/>
        <v>90</v>
      </c>
    </row>
    <row r="1271" spans="15:15" x14ac:dyDescent="0.25">
      <c r="O1271" s="84">
        <f t="shared" si="25"/>
        <v>90</v>
      </c>
    </row>
    <row r="1272" spans="15:15" x14ac:dyDescent="0.25">
      <c r="O1272" s="84">
        <f t="shared" si="25"/>
        <v>90</v>
      </c>
    </row>
    <row r="1273" spans="15:15" x14ac:dyDescent="0.25">
      <c r="O1273" s="84">
        <f t="shared" si="25"/>
        <v>90</v>
      </c>
    </row>
    <row r="1274" spans="15:15" x14ac:dyDescent="0.25">
      <c r="O1274" s="84">
        <f t="shared" si="25"/>
        <v>90</v>
      </c>
    </row>
    <row r="1275" spans="15:15" x14ac:dyDescent="0.25">
      <c r="O1275" s="84">
        <f t="shared" si="25"/>
        <v>90</v>
      </c>
    </row>
    <row r="1276" spans="15:15" x14ac:dyDescent="0.25">
      <c r="O1276" s="84">
        <f t="shared" si="25"/>
        <v>90</v>
      </c>
    </row>
    <row r="1277" spans="15:15" x14ac:dyDescent="0.25">
      <c r="O1277" s="84">
        <f t="shared" si="25"/>
        <v>90</v>
      </c>
    </row>
    <row r="1278" spans="15:15" x14ac:dyDescent="0.25">
      <c r="O1278" s="84">
        <f t="shared" si="25"/>
        <v>90</v>
      </c>
    </row>
    <row r="1279" spans="15:15" x14ac:dyDescent="0.25">
      <c r="O1279" s="84">
        <f t="shared" si="25"/>
        <v>90</v>
      </c>
    </row>
    <row r="1280" spans="15:15" x14ac:dyDescent="0.25">
      <c r="O1280" s="84">
        <f t="shared" si="25"/>
        <v>90</v>
      </c>
    </row>
    <row r="1281" spans="15:15" x14ac:dyDescent="0.25">
      <c r="O1281" s="84">
        <f t="shared" si="25"/>
        <v>90</v>
      </c>
    </row>
    <row r="1282" spans="15:15" x14ac:dyDescent="0.25">
      <c r="O1282" s="84">
        <f t="shared" si="25"/>
        <v>90</v>
      </c>
    </row>
    <row r="1283" spans="15:15" x14ac:dyDescent="0.25">
      <c r="O1283" s="84">
        <f t="shared" ref="O1283:O1346" si="26">90-P1283</f>
        <v>90</v>
      </c>
    </row>
    <row r="1284" spans="15:15" x14ac:dyDescent="0.25">
      <c r="O1284" s="84">
        <f t="shared" si="26"/>
        <v>90</v>
      </c>
    </row>
    <row r="1285" spans="15:15" x14ac:dyDescent="0.25">
      <c r="O1285" s="84">
        <f t="shared" si="26"/>
        <v>90</v>
      </c>
    </row>
    <row r="1286" spans="15:15" x14ac:dyDescent="0.25">
      <c r="O1286" s="84">
        <f t="shared" si="26"/>
        <v>90</v>
      </c>
    </row>
    <row r="1287" spans="15:15" x14ac:dyDescent="0.25">
      <c r="O1287" s="84">
        <f t="shared" si="26"/>
        <v>90</v>
      </c>
    </row>
    <row r="1288" spans="15:15" x14ac:dyDescent="0.25">
      <c r="O1288" s="84">
        <f t="shared" si="26"/>
        <v>90</v>
      </c>
    </row>
    <row r="1289" spans="15:15" x14ac:dyDescent="0.25">
      <c r="O1289" s="84">
        <f t="shared" si="26"/>
        <v>90</v>
      </c>
    </row>
    <row r="1290" spans="15:15" x14ac:dyDescent="0.25">
      <c r="O1290" s="84">
        <f t="shared" si="26"/>
        <v>90</v>
      </c>
    </row>
    <row r="1291" spans="15:15" x14ac:dyDescent="0.25">
      <c r="O1291" s="84">
        <f t="shared" si="26"/>
        <v>90</v>
      </c>
    </row>
    <row r="1292" spans="15:15" x14ac:dyDescent="0.25">
      <c r="O1292" s="84">
        <f t="shared" si="26"/>
        <v>90</v>
      </c>
    </row>
    <row r="1293" spans="15:15" x14ac:dyDescent="0.25">
      <c r="O1293" s="84">
        <f t="shared" si="26"/>
        <v>90</v>
      </c>
    </row>
    <row r="1294" spans="15:15" x14ac:dyDescent="0.25">
      <c r="O1294" s="84">
        <f t="shared" si="26"/>
        <v>90</v>
      </c>
    </row>
    <row r="1295" spans="15:15" x14ac:dyDescent="0.25">
      <c r="O1295" s="84">
        <f t="shared" si="26"/>
        <v>90</v>
      </c>
    </row>
    <row r="1296" spans="15:15" x14ac:dyDescent="0.25">
      <c r="O1296" s="84">
        <f t="shared" si="26"/>
        <v>90</v>
      </c>
    </row>
    <row r="1297" spans="15:15" x14ac:dyDescent="0.25">
      <c r="O1297" s="84">
        <f t="shared" si="26"/>
        <v>90</v>
      </c>
    </row>
    <row r="1298" spans="15:15" x14ac:dyDescent="0.25">
      <c r="O1298" s="84">
        <f t="shared" si="26"/>
        <v>90</v>
      </c>
    </row>
    <row r="1299" spans="15:15" x14ac:dyDescent="0.25">
      <c r="O1299" s="84">
        <f t="shared" si="26"/>
        <v>90</v>
      </c>
    </row>
    <row r="1300" spans="15:15" x14ac:dyDescent="0.25">
      <c r="O1300" s="84">
        <f t="shared" si="26"/>
        <v>90</v>
      </c>
    </row>
    <row r="1301" spans="15:15" x14ac:dyDescent="0.25">
      <c r="O1301" s="84">
        <f t="shared" si="26"/>
        <v>90</v>
      </c>
    </row>
    <row r="1302" spans="15:15" x14ac:dyDescent="0.25">
      <c r="O1302" s="84">
        <f t="shared" si="26"/>
        <v>90</v>
      </c>
    </row>
    <row r="1303" spans="15:15" x14ac:dyDescent="0.25">
      <c r="O1303" s="84">
        <f t="shared" si="26"/>
        <v>90</v>
      </c>
    </row>
    <row r="1304" spans="15:15" x14ac:dyDescent="0.25">
      <c r="O1304" s="84">
        <f t="shared" si="26"/>
        <v>90</v>
      </c>
    </row>
    <row r="1305" spans="15:15" x14ac:dyDescent="0.25">
      <c r="O1305" s="84">
        <f t="shared" si="26"/>
        <v>90</v>
      </c>
    </row>
    <row r="1306" spans="15:15" x14ac:dyDescent="0.25">
      <c r="O1306" s="84">
        <f t="shared" si="26"/>
        <v>90</v>
      </c>
    </row>
    <row r="1307" spans="15:15" x14ac:dyDescent="0.25">
      <c r="O1307" s="84">
        <f t="shared" si="26"/>
        <v>90</v>
      </c>
    </row>
    <row r="1308" spans="15:15" x14ac:dyDescent="0.25">
      <c r="O1308" s="84">
        <f t="shared" si="26"/>
        <v>90</v>
      </c>
    </row>
    <row r="1309" spans="15:15" x14ac:dyDescent="0.25">
      <c r="O1309" s="84">
        <f t="shared" si="26"/>
        <v>90</v>
      </c>
    </row>
    <row r="1310" spans="15:15" x14ac:dyDescent="0.25">
      <c r="O1310" s="84">
        <f t="shared" si="26"/>
        <v>90</v>
      </c>
    </row>
    <row r="1311" spans="15:15" x14ac:dyDescent="0.25">
      <c r="O1311" s="84">
        <f t="shared" si="26"/>
        <v>90</v>
      </c>
    </row>
    <row r="1312" spans="15:15" x14ac:dyDescent="0.25">
      <c r="O1312" s="84">
        <f t="shared" si="26"/>
        <v>90</v>
      </c>
    </row>
    <row r="1313" spans="15:15" x14ac:dyDescent="0.25">
      <c r="O1313" s="84">
        <f t="shared" si="26"/>
        <v>90</v>
      </c>
    </row>
    <row r="1314" spans="15:15" x14ac:dyDescent="0.25">
      <c r="O1314" s="84">
        <f t="shared" si="26"/>
        <v>90</v>
      </c>
    </row>
    <row r="1315" spans="15:15" x14ac:dyDescent="0.25">
      <c r="O1315" s="84">
        <f t="shared" si="26"/>
        <v>90</v>
      </c>
    </row>
    <row r="1316" spans="15:15" x14ac:dyDescent="0.25">
      <c r="O1316" s="84">
        <f t="shared" si="26"/>
        <v>90</v>
      </c>
    </row>
    <row r="1317" spans="15:15" x14ac:dyDescent="0.25">
      <c r="O1317" s="84">
        <f t="shared" si="26"/>
        <v>90</v>
      </c>
    </row>
    <row r="1318" spans="15:15" x14ac:dyDescent="0.25">
      <c r="O1318" s="84">
        <f t="shared" si="26"/>
        <v>90</v>
      </c>
    </row>
    <row r="1319" spans="15:15" x14ac:dyDescent="0.25">
      <c r="O1319" s="84">
        <f t="shared" si="26"/>
        <v>90</v>
      </c>
    </row>
    <row r="1320" spans="15:15" x14ac:dyDescent="0.25">
      <c r="O1320" s="84">
        <f t="shared" si="26"/>
        <v>90</v>
      </c>
    </row>
    <row r="1321" spans="15:15" x14ac:dyDescent="0.25">
      <c r="O1321" s="84">
        <f t="shared" si="26"/>
        <v>90</v>
      </c>
    </row>
    <row r="1322" spans="15:15" x14ac:dyDescent="0.25">
      <c r="O1322" s="84">
        <f t="shared" si="26"/>
        <v>90</v>
      </c>
    </row>
    <row r="1323" spans="15:15" x14ac:dyDescent="0.25">
      <c r="O1323" s="84">
        <f t="shared" si="26"/>
        <v>90</v>
      </c>
    </row>
    <row r="1324" spans="15:15" x14ac:dyDescent="0.25">
      <c r="O1324" s="84">
        <f t="shared" si="26"/>
        <v>90</v>
      </c>
    </row>
    <row r="1325" spans="15:15" x14ac:dyDescent="0.25">
      <c r="O1325" s="84">
        <f t="shared" si="26"/>
        <v>90</v>
      </c>
    </row>
    <row r="1326" spans="15:15" x14ac:dyDescent="0.25">
      <c r="O1326" s="84">
        <f t="shared" si="26"/>
        <v>90</v>
      </c>
    </row>
    <row r="1327" spans="15:15" x14ac:dyDescent="0.25">
      <c r="O1327" s="84">
        <f t="shared" si="26"/>
        <v>90</v>
      </c>
    </row>
    <row r="1328" spans="15:15" x14ac:dyDescent="0.25">
      <c r="O1328" s="84">
        <f t="shared" si="26"/>
        <v>90</v>
      </c>
    </row>
    <row r="1329" spans="15:15" x14ac:dyDescent="0.25">
      <c r="O1329" s="84">
        <f t="shared" si="26"/>
        <v>90</v>
      </c>
    </row>
    <row r="1330" spans="15:15" x14ac:dyDescent="0.25">
      <c r="O1330" s="84">
        <f t="shared" si="26"/>
        <v>90</v>
      </c>
    </row>
    <row r="1331" spans="15:15" x14ac:dyDescent="0.25">
      <c r="O1331" s="84">
        <f t="shared" si="26"/>
        <v>90</v>
      </c>
    </row>
    <row r="1332" spans="15:15" x14ac:dyDescent="0.25">
      <c r="O1332" s="84">
        <f t="shared" si="26"/>
        <v>90</v>
      </c>
    </row>
    <row r="1333" spans="15:15" x14ac:dyDescent="0.25">
      <c r="O1333" s="84">
        <f t="shared" si="26"/>
        <v>90</v>
      </c>
    </row>
    <row r="1334" spans="15:15" x14ac:dyDescent="0.25">
      <c r="O1334" s="84">
        <f t="shared" si="26"/>
        <v>90</v>
      </c>
    </row>
    <row r="1335" spans="15:15" x14ac:dyDescent="0.25">
      <c r="O1335" s="84">
        <f t="shared" si="26"/>
        <v>90</v>
      </c>
    </row>
    <row r="1336" spans="15:15" x14ac:dyDescent="0.25">
      <c r="O1336" s="84">
        <f t="shared" si="26"/>
        <v>90</v>
      </c>
    </row>
    <row r="1337" spans="15:15" x14ac:dyDescent="0.25">
      <c r="O1337" s="84">
        <f t="shared" si="26"/>
        <v>90</v>
      </c>
    </row>
    <row r="1338" spans="15:15" x14ac:dyDescent="0.25">
      <c r="O1338" s="84">
        <f t="shared" si="26"/>
        <v>90</v>
      </c>
    </row>
    <row r="1339" spans="15:15" x14ac:dyDescent="0.25">
      <c r="O1339" s="84">
        <f t="shared" si="26"/>
        <v>90</v>
      </c>
    </row>
    <row r="1340" spans="15:15" x14ac:dyDescent="0.25">
      <c r="O1340" s="84">
        <f t="shared" si="26"/>
        <v>90</v>
      </c>
    </row>
    <row r="1341" spans="15:15" x14ac:dyDescent="0.25">
      <c r="O1341" s="84">
        <f t="shared" si="26"/>
        <v>90</v>
      </c>
    </row>
    <row r="1342" spans="15:15" x14ac:dyDescent="0.25">
      <c r="O1342" s="84">
        <f t="shared" si="26"/>
        <v>90</v>
      </c>
    </row>
    <row r="1343" spans="15:15" x14ac:dyDescent="0.25">
      <c r="O1343" s="84">
        <f t="shared" si="26"/>
        <v>90</v>
      </c>
    </row>
    <row r="1344" spans="15:15" x14ac:dyDescent="0.25">
      <c r="O1344" s="84">
        <f t="shared" si="26"/>
        <v>90</v>
      </c>
    </row>
    <row r="1345" spans="15:15" x14ac:dyDescent="0.25">
      <c r="O1345" s="84">
        <f t="shared" si="26"/>
        <v>90</v>
      </c>
    </row>
    <row r="1346" spans="15:15" x14ac:dyDescent="0.25">
      <c r="O1346" s="84">
        <f t="shared" si="26"/>
        <v>90</v>
      </c>
    </row>
    <row r="1347" spans="15:15" x14ac:dyDescent="0.25">
      <c r="O1347" s="84">
        <f t="shared" ref="O1347:O1410" si="27">90-P1347</f>
        <v>90</v>
      </c>
    </row>
    <row r="1348" spans="15:15" x14ac:dyDescent="0.25">
      <c r="O1348" s="84">
        <f t="shared" si="27"/>
        <v>90</v>
      </c>
    </row>
    <row r="1349" spans="15:15" x14ac:dyDescent="0.25">
      <c r="O1349" s="84">
        <f t="shared" si="27"/>
        <v>90</v>
      </c>
    </row>
    <row r="1350" spans="15:15" x14ac:dyDescent="0.25">
      <c r="O1350" s="84">
        <f t="shared" si="27"/>
        <v>90</v>
      </c>
    </row>
    <row r="1351" spans="15:15" x14ac:dyDescent="0.25">
      <c r="O1351" s="84">
        <f t="shared" si="27"/>
        <v>90</v>
      </c>
    </row>
    <row r="1352" spans="15:15" x14ac:dyDescent="0.25">
      <c r="O1352" s="84">
        <f t="shared" si="27"/>
        <v>90</v>
      </c>
    </row>
    <row r="1353" spans="15:15" x14ac:dyDescent="0.25">
      <c r="O1353" s="84">
        <f t="shared" si="27"/>
        <v>90</v>
      </c>
    </row>
    <row r="1354" spans="15:15" x14ac:dyDescent="0.25">
      <c r="O1354" s="84">
        <f t="shared" si="27"/>
        <v>90</v>
      </c>
    </row>
    <row r="1355" spans="15:15" x14ac:dyDescent="0.25">
      <c r="O1355" s="84">
        <f t="shared" si="27"/>
        <v>90</v>
      </c>
    </row>
    <row r="1356" spans="15:15" x14ac:dyDescent="0.25">
      <c r="O1356" s="84">
        <f t="shared" si="27"/>
        <v>90</v>
      </c>
    </row>
    <row r="1357" spans="15:15" x14ac:dyDescent="0.25">
      <c r="O1357" s="84">
        <f t="shared" si="27"/>
        <v>90</v>
      </c>
    </row>
    <row r="1358" spans="15:15" x14ac:dyDescent="0.25">
      <c r="O1358" s="84">
        <f t="shared" si="27"/>
        <v>90</v>
      </c>
    </row>
    <row r="1359" spans="15:15" x14ac:dyDescent="0.25">
      <c r="O1359" s="84">
        <f t="shared" si="27"/>
        <v>90</v>
      </c>
    </row>
    <row r="1360" spans="15:15" x14ac:dyDescent="0.25">
      <c r="O1360" s="84">
        <f t="shared" si="27"/>
        <v>90</v>
      </c>
    </row>
    <row r="1361" spans="15:15" x14ac:dyDescent="0.25">
      <c r="O1361" s="84">
        <f t="shared" si="27"/>
        <v>90</v>
      </c>
    </row>
    <row r="1362" spans="15:15" x14ac:dyDescent="0.25">
      <c r="O1362" s="84">
        <f t="shared" si="27"/>
        <v>90</v>
      </c>
    </row>
    <row r="1363" spans="15:15" x14ac:dyDescent="0.25">
      <c r="O1363" s="84">
        <f t="shared" si="27"/>
        <v>90</v>
      </c>
    </row>
    <row r="1364" spans="15:15" x14ac:dyDescent="0.25">
      <c r="O1364" s="84">
        <f t="shared" si="27"/>
        <v>90</v>
      </c>
    </row>
    <row r="1365" spans="15:15" x14ac:dyDescent="0.25">
      <c r="O1365" s="84">
        <f t="shared" si="27"/>
        <v>90</v>
      </c>
    </row>
    <row r="1366" spans="15:15" x14ac:dyDescent="0.25">
      <c r="O1366" s="84">
        <f t="shared" si="27"/>
        <v>90</v>
      </c>
    </row>
    <row r="1367" spans="15:15" x14ac:dyDescent="0.25">
      <c r="O1367" s="84">
        <f t="shared" si="27"/>
        <v>90</v>
      </c>
    </row>
    <row r="1368" spans="15:15" x14ac:dyDescent="0.25">
      <c r="O1368" s="84">
        <f t="shared" si="27"/>
        <v>90</v>
      </c>
    </row>
    <row r="1369" spans="15:15" x14ac:dyDescent="0.25">
      <c r="O1369" s="84">
        <f t="shared" si="27"/>
        <v>90</v>
      </c>
    </row>
    <row r="1370" spans="15:15" x14ac:dyDescent="0.25">
      <c r="O1370" s="84">
        <f t="shared" si="27"/>
        <v>90</v>
      </c>
    </row>
    <row r="1371" spans="15:15" x14ac:dyDescent="0.25">
      <c r="O1371" s="84">
        <f t="shared" si="27"/>
        <v>90</v>
      </c>
    </row>
    <row r="1372" spans="15:15" x14ac:dyDescent="0.25">
      <c r="O1372" s="84">
        <f t="shared" si="27"/>
        <v>90</v>
      </c>
    </row>
    <row r="1373" spans="15:15" x14ac:dyDescent="0.25">
      <c r="O1373" s="84">
        <f t="shared" si="27"/>
        <v>90</v>
      </c>
    </row>
    <row r="1374" spans="15:15" x14ac:dyDescent="0.25">
      <c r="O1374" s="84">
        <f t="shared" si="27"/>
        <v>90</v>
      </c>
    </row>
    <row r="1375" spans="15:15" x14ac:dyDescent="0.25">
      <c r="O1375" s="84">
        <f t="shared" si="27"/>
        <v>90</v>
      </c>
    </row>
    <row r="1376" spans="15:15" x14ac:dyDescent="0.25">
      <c r="O1376" s="84">
        <f t="shared" si="27"/>
        <v>90</v>
      </c>
    </row>
    <row r="1377" spans="15:15" x14ac:dyDescent="0.25">
      <c r="O1377" s="84">
        <f t="shared" si="27"/>
        <v>90</v>
      </c>
    </row>
    <row r="1378" spans="15:15" x14ac:dyDescent="0.25">
      <c r="O1378" s="84">
        <f t="shared" si="27"/>
        <v>90</v>
      </c>
    </row>
    <row r="1379" spans="15:15" x14ac:dyDescent="0.25">
      <c r="O1379" s="84">
        <f t="shared" si="27"/>
        <v>90</v>
      </c>
    </row>
    <row r="1380" spans="15:15" x14ac:dyDescent="0.25">
      <c r="O1380" s="84">
        <f t="shared" si="27"/>
        <v>90</v>
      </c>
    </row>
    <row r="1381" spans="15:15" x14ac:dyDescent="0.25">
      <c r="O1381" s="84">
        <f t="shared" si="27"/>
        <v>90</v>
      </c>
    </row>
    <row r="1382" spans="15:15" x14ac:dyDescent="0.25">
      <c r="O1382" s="84">
        <f t="shared" si="27"/>
        <v>90</v>
      </c>
    </row>
    <row r="1383" spans="15:15" x14ac:dyDescent="0.25">
      <c r="O1383" s="84">
        <f t="shared" si="27"/>
        <v>90</v>
      </c>
    </row>
    <row r="1384" spans="15:15" x14ac:dyDescent="0.25">
      <c r="O1384" s="84">
        <f t="shared" si="27"/>
        <v>90</v>
      </c>
    </row>
    <row r="1385" spans="15:15" x14ac:dyDescent="0.25">
      <c r="O1385" s="84">
        <f t="shared" si="27"/>
        <v>90</v>
      </c>
    </row>
    <row r="1386" spans="15:15" x14ac:dyDescent="0.25">
      <c r="O1386" s="84">
        <f t="shared" si="27"/>
        <v>90</v>
      </c>
    </row>
    <row r="1387" spans="15:15" x14ac:dyDescent="0.25">
      <c r="O1387" s="84">
        <f t="shared" si="27"/>
        <v>90</v>
      </c>
    </row>
    <row r="1388" spans="15:15" x14ac:dyDescent="0.25">
      <c r="O1388" s="84">
        <f t="shared" si="27"/>
        <v>90</v>
      </c>
    </row>
    <row r="1389" spans="15:15" x14ac:dyDescent="0.25">
      <c r="O1389" s="84">
        <f t="shared" si="27"/>
        <v>90</v>
      </c>
    </row>
    <row r="1390" spans="15:15" x14ac:dyDescent="0.25">
      <c r="O1390" s="84">
        <f t="shared" si="27"/>
        <v>90</v>
      </c>
    </row>
    <row r="1391" spans="15:15" x14ac:dyDescent="0.25">
      <c r="O1391" s="84">
        <f t="shared" si="27"/>
        <v>90</v>
      </c>
    </row>
    <row r="1392" spans="15:15" x14ac:dyDescent="0.25">
      <c r="O1392" s="84">
        <f t="shared" si="27"/>
        <v>90</v>
      </c>
    </row>
    <row r="1393" spans="15:15" x14ac:dyDescent="0.25">
      <c r="O1393" s="84">
        <f t="shared" si="27"/>
        <v>90</v>
      </c>
    </row>
    <row r="1394" spans="15:15" x14ac:dyDescent="0.25">
      <c r="O1394" s="84">
        <f t="shared" si="27"/>
        <v>90</v>
      </c>
    </row>
    <row r="1395" spans="15:15" x14ac:dyDescent="0.25">
      <c r="O1395" s="84">
        <f t="shared" si="27"/>
        <v>90</v>
      </c>
    </row>
    <row r="1396" spans="15:15" x14ac:dyDescent="0.25">
      <c r="O1396" s="84">
        <f t="shared" si="27"/>
        <v>90</v>
      </c>
    </row>
    <row r="1397" spans="15:15" x14ac:dyDescent="0.25">
      <c r="O1397" s="84">
        <f t="shared" si="27"/>
        <v>90</v>
      </c>
    </row>
    <row r="1398" spans="15:15" x14ac:dyDescent="0.25">
      <c r="O1398" s="84">
        <f t="shared" si="27"/>
        <v>90</v>
      </c>
    </row>
    <row r="1399" spans="15:15" x14ac:dyDescent="0.25">
      <c r="O1399" s="84">
        <f t="shared" si="27"/>
        <v>90</v>
      </c>
    </row>
    <row r="1400" spans="15:15" x14ac:dyDescent="0.25">
      <c r="O1400" s="84">
        <f t="shared" si="27"/>
        <v>90</v>
      </c>
    </row>
    <row r="1401" spans="15:15" x14ac:dyDescent="0.25">
      <c r="O1401" s="84">
        <f t="shared" si="27"/>
        <v>90</v>
      </c>
    </row>
    <row r="1402" spans="15:15" x14ac:dyDescent="0.25">
      <c r="O1402" s="84">
        <f t="shared" si="27"/>
        <v>90</v>
      </c>
    </row>
    <row r="1403" spans="15:15" x14ac:dyDescent="0.25">
      <c r="O1403" s="84">
        <f t="shared" si="27"/>
        <v>90</v>
      </c>
    </row>
    <row r="1404" spans="15:15" x14ac:dyDescent="0.25">
      <c r="O1404" s="84">
        <f t="shared" si="27"/>
        <v>90</v>
      </c>
    </row>
    <row r="1405" spans="15:15" x14ac:dyDescent="0.25">
      <c r="O1405" s="84">
        <f t="shared" si="27"/>
        <v>90</v>
      </c>
    </row>
    <row r="1406" spans="15:15" x14ac:dyDescent="0.25">
      <c r="O1406" s="84">
        <f t="shared" si="27"/>
        <v>90</v>
      </c>
    </row>
    <row r="1407" spans="15:15" x14ac:dyDescent="0.25">
      <c r="O1407" s="84">
        <f t="shared" si="27"/>
        <v>90</v>
      </c>
    </row>
    <row r="1408" spans="15:15" x14ac:dyDescent="0.25">
      <c r="O1408" s="84">
        <f t="shared" si="27"/>
        <v>90</v>
      </c>
    </row>
    <row r="1409" spans="15:15" x14ac:dyDescent="0.25">
      <c r="O1409" s="84">
        <f t="shared" si="27"/>
        <v>90</v>
      </c>
    </row>
    <row r="1410" spans="15:15" x14ac:dyDescent="0.25">
      <c r="O1410" s="84">
        <f t="shared" si="27"/>
        <v>90</v>
      </c>
    </row>
    <row r="1411" spans="15:15" x14ac:dyDescent="0.25">
      <c r="O1411" s="84">
        <f t="shared" ref="O1411:O1474" si="28">90-P1411</f>
        <v>90</v>
      </c>
    </row>
    <row r="1412" spans="15:15" x14ac:dyDescent="0.25">
      <c r="O1412" s="84">
        <f t="shared" si="28"/>
        <v>90</v>
      </c>
    </row>
    <row r="1413" spans="15:15" x14ac:dyDescent="0.25">
      <c r="O1413" s="84">
        <f t="shared" si="28"/>
        <v>90</v>
      </c>
    </row>
    <row r="1414" spans="15:15" x14ac:dyDescent="0.25">
      <c r="O1414" s="84">
        <f t="shared" si="28"/>
        <v>90</v>
      </c>
    </row>
    <row r="1415" spans="15:15" x14ac:dyDescent="0.25">
      <c r="O1415" s="84">
        <f t="shared" si="28"/>
        <v>90</v>
      </c>
    </row>
    <row r="1416" spans="15:15" x14ac:dyDescent="0.25">
      <c r="O1416" s="84">
        <f t="shared" si="28"/>
        <v>90</v>
      </c>
    </row>
    <row r="1417" spans="15:15" x14ac:dyDescent="0.25">
      <c r="O1417" s="84">
        <f t="shared" si="28"/>
        <v>90</v>
      </c>
    </row>
    <row r="1418" spans="15:15" x14ac:dyDescent="0.25">
      <c r="O1418" s="84">
        <f t="shared" si="28"/>
        <v>90</v>
      </c>
    </row>
    <row r="1419" spans="15:15" x14ac:dyDescent="0.25">
      <c r="O1419" s="84">
        <f t="shared" si="28"/>
        <v>90</v>
      </c>
    </row>
    <row r="1420" spans="15:15" x14ac:dyDescent="0.25">
      <c r="O1420" s="84">
        <f t="shared" si="28"/>
        <v>90</v>
      </c>
    </row>
    <row r="1421" spans="15:15" x14ac:dyDescent="0.25">
      <c r="O1421" s="84">
        <f t="shared" si="28"/>
        <v>90</v>
      </c>
    </row>
    <row r="1422" spans="15:15" x14ac:dyDescent="0.25">
      <c r="O1422" s="84">
        <f t="shared" si="28"/>
        <v>90</v>
      </c>
    </row>
    <row r="1423" spans="15:15" x14ac:dyDescent="0.25">
      <c r="O1423" s="84">
        <f t="shared" si="28"/>
        <v>90</v>
      </c>
    </row>
    <row r="1424" spans="15:15" x14ac:dyDescent="0.25">
      <c r="O1424" s="84">
        <f t="shared" si="28"/>
        <v>90</v>
      </c>
    </row>
    <row r="1425" spans="15:15" x14ac:dyDescent="0.25">
      <c r="O1425" s="84">
        <f t="shared" si="28"/>
        <v>90</v>
      </c>
    </row>
    <row r="1426" spans="15:15" x14ac:dyDescent="0.25">
      <c r="O1426" s="84">
        <f t="shared" si="28"/>
        <v>90</v>
      </c>
    </row>
    <row r="1427" spans="15:15" x14ac:dyDescent="0.25">
      <c r="O1427" s="84">
        <f t="shared" si="28"/>
        <v>90</v>
      </c>
    </row>
    <row r="1428" spans="15:15" x14ac:dyDescent="0.25">
      <c r="O1428" s="84">
        <f t="shared" si="28"/>
        <v>90</v>
      </c>
    </row>
    <row r="1429" spans="15:15" x14ac:dyDescent="0.25">
      <c r="O1429" s="84">
        <f t="shared" si="28"/>
        <v>90</v>
      </c>
    </row>
    <row r="1430" spans="15:15" x14ac:dyDescent="0.25">
      <c r="O1430" s="84">
        <f t="shared" si="28"/>
        <v>90</v>
      </c>
    </row>
    <row r="1431" spans="15:15" x14ac:dyDescent="0.25">
      <c r="O1431" s="84">
        <f t="shared" si="28"/>
        <v>90</v>
      </c>
    </row>
    <row r="1432" spans="15:15" x14ac:dyDescent="0.25">
      <c r="O1432" s="84">
        <f t="shared" si="28"/>
        <v>90</v>
      </c>
    </row>
    <row r="1433" spans="15:15" x14ac:dyDescent="0.25">
      <c r="O1433" s="84">
        <f t="shared" si="28"/>
        <v>90</v>
      </c>
    </row>
    <row r="1434" spans="15:15" x14ac:dyDescent="0.25">
      <c r="O1434" s="84">
        <f t="shared" si="28"/>
        <v>90</v>
      </c>
    </row>
    <row r="1435" spans="15:15" x14ac:dyDescent="0.25">
      <c r="O1435" s="84">
        <f t="shared" si="28"/>
        <v>90</v>
      </c>
    </row>
    <row r="1436" spans="15:15" x14ac:dyDescent="0.25">
      <c r="O1436" s="84">
        <f t="shared" si="28"/>
        <v>90</v>
      </c>
    </row>
    <row r="1437" spans="15:15" x14ac:dyDescent="0.25">
      <c r="O1437" s="84">
        <f t="shared" si="28"/>
        <v>90</v>
      </c>
    </row>
    <row r="1438" spans="15:15" x14ac:dyDescent="0.25">
      <c r="O1438" s="84">
        <f t="shared" si="28"/>
        <v>90</v>
      </c>
    </row>
    <row r="1439" spans="15:15" x14ac:dyDescent="0.25">
      <c r="O1439" s="84">
        <f t="shared" si="28"/>
        <v>90</v>
      </c>
    </row>
    <row r="1440" spans="15:15" x14ac:dyDescent="0.25">
      <c r="O1440" s="84">
        <f t="shared" si="28"/>
        <v>90</v>
      </c>
    </row>
    <row r="1441" spans="15:15" x14ac:dyDescent="0.25">
      <c r="O1441" s="84">
        <f t="shared" si="28"/>
        <v>90</v>
      </c>
    </row>
    <row r="1442" spans="15:15" x14ac:dyDescent="0.25">
      <c r="O1442" s="84">
        <f t="shared" si="28"/>
        <v>90</v>
      </c>
    </row>
    <row r="1443" spans="15:15" x14ac:dyDescent="0.25">
      <c r="O1443" s="84">
        <f t="shared" si="28"/>
        <v>90</v>
      </c>
    </row>
    <row r="1444" spans="15:15" x14ac:dyDescent="0.25">
      <c r="O1444" s="84">
        <f t="shared" si="28"/>
        <v>90</v>
      </c>
    </row>
    <row r="1445" spans="15:15" x14ac:dyDescent="0.25">
      <c r="O1445" s="84">
        <f t="shared" si="28"/>
        <v>90</v>
      </c>
    </row>
    <row r="1446" spans="15:15" x14ac:dyDescent="0.25">
      <c r="O1446" s="84">
        <f t="shared" si="28"/>
        <v>90</v>
      </c>
    </row>
    <row r="1447" spans="15:15" x14ac:dyDescent="0.25">
      <c r="O1447" s="84">
        <f t="shared" si="28"/>
        <v>90</v>
      </c>
    </row>
    <row r="1448" spans="15:15" x14ac:dyDescent="0.25">
      <c r="O1448" s="84">
        <f t="shared" si="28"/>
        <v>90</v>
      </c>
    </row>
    <row r="1449" spans="15:15" x14ac:dyDescent="0.25">
      <c r="O1449" s="84">
        <f t="shared" si="28"/>
        <v>90</v>
      </c>
    </row>
    <row r="1450" spans="15:15" x14ac:dyDescent="0.25">
      <c r="O1450" s="84">
        <f t="shared" si="28"/>
        <v>90</v>
      </c>
    </row>
    <row r="1451" spans="15:15" x14ac:dyDescent="0.25">
      <c r="O1451" s="84">
        <f t="shared" si="28"/>
        <v>90</v>
      </c>
    </row>
    <row r="1452" spans="15:15" x14ac:dyDescent="0.25">
      <c r="O1452" s="84">
        <f t="shared" si="28"/>
        <v>90</v>
      </c>
    </row>
    <row r="1453" spans="15:15" x14ac:dyDescent="0.25">
      <c r="O1453" s="84">
        <f t="shared" si="28"/>
        <v>90</v>
      </c>
    </row>
    <row r="1454" spans="15:15" x14ac:dyDescent="0.25">
      <c r="O1454" s="84">
        <f t="shared" si="28"/>
        <v>90</v>
      </c>
    </row>
    <row r="1455" spans="15:15" x14ac:dyDescent="0.25">
      <c r="O1455" s="84">
        <f t="shared" si="28"/>
        <v>90</v>
      </c>
    </row>
    <row r="1456" spans="15:15" x14ac:dyDescent="0.25">
      <c r="O1456" s="84">
        <f t="shared" si="28"/>
        <v>90</v>
      </c>
    </row>
    <row r="1457" spans="15:15" x14ac:dyDescent="0.25">
      <c r="O1457" s="84">
        <f t="shared" si="28"/>
        <v>90</v>
      </c>
    </row>
    <row r="1458" spans="15:15" x14ac:dyDescent="0.25">
      <c r="O1458" s="84">
        <f t="shared" si="28"/>
        <v>90</v>
      </c>
    </row>
    <row r="1459" spans="15:15" x14ac:dyDescent="0.25">
      <c r="O1459" s="84">
        <f t="shared" si="28"/>
        <v>90</v>
      </c>
    </row>
    <row r="1460" spans="15:15" x14ac:dyDescent="0.25">
      <c r="O1460" s="84">
        <f t="shared" si="28"/>
        <v>90</v>
      </c>
    </row>
    <row r="1461" spans="15:15" x14ac:dyDescent="0.25">
      <c r="O1461" s="84">
        <f t="shared" si="28"/>
        <v>90</v>
      </c>
    </row>
    <row r="1462" spans="15:15" x14ac:dyDescent="0.25">
      <c r="O1462" s="84">
        <f t="shared" si="28"/>
        <v>90</v>
      </c>
    </row>
    <row r="1463" spans="15:15" x14ac:dyDescent="0.25">
      <c r="O1463" s="84">
        <f t="shared" si="28"/>
        <v>90</v>
      </c>
    </row>
    <row r="1464" spans="15:15" x14ac:dyDescent="0.25">
      <c r="O1464" s="84">
        <f t="shared" si="28"/>
        <v>90</v>
      </c>
    </row>
    <row r="1465" spans="15:15" x14ac:dyDescent="0.25">
      <c r="O1465" s="84">
        <f t="shared" si="28"/>
        <v>90</v>
      </c>
    </row>
    <row r="1466" spans="15:15" x14ac:dyDescent="0.25">
      <c r="O1466" s="84">
        <f t="shared" si="28"/>
        <v>90</v>
      </c>
    </row>
    <row r="1467" spans="15:15" x14ac:dyDescent="0.25">
      <c r="O1467" s="84">
        <f t="shared" si="28"/>
        <v>90</v>
      </c>
    </row>
    <row r="1468" spans="15:15" x14ac:dyDescent="0.25">
      <c r="O1468" s="84">
        <f t="shared" si="28"/>
        <v>90</v>
      </c>
    </row>
    <row r="1469" spans="15:15" x14ac:dyDescent="0.25">
      <c r="O1469" s="84">
        <f t="shared" si="28"/>
        <v>90</v>
      </c>
    </row>
    <row r="1470" spans="15:15" x14ac:dyDescent="0.25">
      <c r="O1470" s="84">
        <f t="shared" si="28"/>
        <v>90</v>
      </c>
    </row>
    <row r="1471" spans="15:15" x14ac:dyDescent="0.25">
      <c r="O1471" s="84">
        <f t="shared" si="28"/>
        <v>90</v>
      </c>
    </row>
    <row r="1472" spans="15:15" x14ac:dyDescent="0.25">
      <c r="O1472" s="84">
        <f t="shared" si="28"/>
        <v>90</v>
      </c>
    </row>
    <row r="1473" spans="15:15" x14ac:dyDescent="0.25">
      <c r="O1473" s="84">
        <f t="shared" si="28"/>
        <v>90</v>
      </c>
    </row>
    <row r="1474" spans="15:15" x14ac:dyDescent="0.25">
      <c r="O1474" s="84">
        <f t="shared" si="28"/>
        <v>90</v>
      </c>
    </row>
    <row r="1475" spans="15:15" x14ac:dyDescent="0.25">
      <c r="O1475" s="84">
        <f t="shared" ref="O1475:O1538" si="29">90-P1475</f>
        <v>90</v>
      </c>
    </row>
    <row r="1476" spans="15:15" x14ac:dyDescent="0.25">
      <c r="O1476" s="84">
        <f t="shared" si="29"/>
        <v>90</v>
      </c>
    </row>
    <row r="1477" spans="15:15" x14ac:dyDescent="0.25">
      <c r="O1477" s="84">
        <f t="shared" si="29"/>
        <v>90</v>
      </c>
    </row>
    <row r="1478" spans="15:15" x14ac:dyDescent="0.25">
      <c r="O1478" s="84">
        <f t="shared" si="29"/>
        <v>90</v>
      </c>
    </row>
    <row r="1479" spans="15:15" x14ac:dyDescent="0.25">
      <c r="O1479" s="84">
        <f t="shared" si="29"/>
        <v>90</v>
      </c>
    </row>
    <row r="1480" spans="15:15" x14ac:dyDescent="0.25">
      <c r="O1480" s="84">
        <f t="shared" si="29"/>
        <v>90</v>
      </c>
    </row>
    <row r="1481" spans="15:15" x14ac:dyDescent="0.25">
      <c r="O1481" s="84">
        <f t="shared" si="29"/>
        <v>90</v>
      </c>
    </row>
    <row r="1482" spans="15:15" x14ac:dyDescent="0.25">
      <c r="O1482" s="84">
        <f t="shared" si="29"/>
        <v>90</v>
      </c>
    </row>
    <row r="1483" spans="15:15" x14ac:dyDescent="0.25">
      <c r="O1483" s="84">
        <f t="shared" si="29"/>
        <v>90</v>
      </c>
    </row>
    <row r="1484" spans="15:15" x14ac:dyDescent="0.25">
      <c r="O1484" s="84">
        <f t="shared" si="29"/>
        <v>90</v>
      </c>
    </row>
    <row r="1485" spans="15:15" x14ac:dyDescent="0.25">
      <c r="O1485" s="84">
        <f t="shared" si="29"/>
        <v>90</v>
      </c>
    </row>
    <row r="1486" spans="15:15" x14ac:dyDescent="0.25">
      <c r="O1486" s="84">
        <f t="shared" si="29"/>
        <v>90</v>
      </c>
    </row>
    <row r="1487" spans="15:15" x14ac:dyDescent="0.25">
      <c r="O1487" s="84">
        <f t="shared" si="29"/>
        <v>90</v>
      </c>
    </row>
    <row r="1488" spans="15:15" x14ac:dyDescent="0.25">
      <c r="O1488" s="84">
        <f t="shared" si="29"/>
        <v>90</v>
      </c>
    </row>
    <row r="1489" spans="15:15" x14ac:dyDescent="0.25">
      <c r="O1489" s="84">
        <f t="shared" si="29"/>
        <v>90</v>
      </c>
    </row>
    <row r="1490" spans="15:15" x14ac:dyDescent="0.25">
      <c r="O1490" s="84">
        <f t="shared" si="29"/>
        <v>90</v>
      </c>
    </row>
    <row r="1491" spans="15:15" x14ac:dyDescent="0.25">
      <c r="O1491" s="84">
        <f t="shared" si="29"/>
        <v>90</v>
      </c>
    </row>
    <row r="1492" spans="15:15" x14ac:dyDescent="0.25">
      <c r="O1492" s="84">
        <f t="shared" si="29"/>
        <v>90</v>
      </c>
    </row>
    <row r="1493" spans="15:15" x14ac:dyDescent="0.25">
      <c r="O1493" s="84">
        <f t="shared" si="29"/>
        <v>90</v>
      </c>
    </row>
    <row r="1494" spans="15:15" x14ac:dyDescent="0.25">
      <c r="O1494" s="84">
        <f t="shared" si="29"/>
        <v>90</v>
      </c>
    </row>
    <row r="1495" spans="15:15" x14ac:dyDescent="0.25">
      <c r="O1495" s="84">
        <f t="shared" si="29"/>
        <v>90</v>
      </c>
    </row>
    <row r="1496" spans="15:15" x14ac:dyDescent="0.25">
      <c r="O1496" s="84">
        <f t="shared" si="29"/>
        <v>90</v>
      </c>
    </row>
    <row r="1497" spans="15:15" x14ac:dyDescent="0.25">
      <c r="O1497" s="84">
        <f t="shared" si="29"/>
        <v>90</v>
      </c>
    </row>
    <row r="1498" spans="15:15" x14ac:dyDescent="0.25">
      <c r="O1498" s="84">
        <f t="shared" si="29"/>
        <v>90</v>
      </c>
    </row>
    <row r="1499" spans="15:15" x14ac:dyDescent="0.25">
      <c r="O1499" s="84">
        <f t="shared" si="29"/>
        <v>90</v>
      </c>
    </row>
    <row r="1500" spans="15:15" x14ac:dyDescent="0.25">
      <c r="O1500" s="84">
        <f t="shared" si="29"/>
        <v>90</v>
      </c>
    </row>
    <row r="1501" spans="15:15" x14ac:dyDescent="0.25">
      <c r="O1501" s="84">
        <f t="shared" si="29"/>
        <v>90</v>
      </c>
    </row>
    <row r="1502" spans="15:15" x14ac:dyDescent="0.25">
      <c r="O1502" s="84">
        <f t="shared" si="29"/>
        <v>90</v>
      </c>
    </row>
    <row r="1503" spans="15:15" x14ac:dyDescent="0.25">
      <c r="O1503" s="84">
        <f t="shared" si="29"/>
        <v>90</v>
      </c>
    </row>
    <row r="1504" spans="15:15" x14ac:dyDescent="0.25">
      <c r="O1504" s="84">
        <f t="shared" si="29"/>
        <v>90</v>
      </c>
    </row>
    <row r="1505" spans="15:15" x14ac:dyDescent="0.25">
      <c r="O1505" s="84">
        <f t="shared" si="29"/>
        <v>90</v>
      </c>
    </row>
    <row r="1506" spans="15:15" x14ac:dyDescent="0.25">
      <c r="O1506" s="84">
        <f t="shared" si="29"/>
        <v>90</v>
      </c>
    </row>
    <row r="1507" spans="15:15" x14ac:dyDescent="0.25">
      <c r="O1507" s="84">
        <f t="shared" si="29"/>
        <v>90</v>
      </c>
    </row>
    <row r="1508" spans="15:15" x14ac:dyDescent="0.25">
      <c r="O1508" s="84">
        <f t="shared" si="29"/>
        <v>90</v>
      </c>
    </row>
    <row r="1509" spans="15:15" x14ac:dyDescent="0.25">
      <c r="O1509" s="84">
        <f t="shared" si="29"/>
        <v>90</v>
      </c>
    </row>
    <row r="1510" spans="15:15" x14ac:dyDescent="0.25">
      <c r="O1510" s="84">
        <f t="shared" si="29"/>
        <v>90</v>
      </c>
    </row>
    <row r="1511" spans="15:15" x14ac:dyDescent="0.25">
      <c r="O1511" s="84">
        <f t="shared" si="29"/>
        <v>90</v>
      </c>
    </row>
    <row r="1512" spans="15:15" x14ac:dyDescent="0.25">
      <c r="O1512" s="84">
        <f t="shared" si="29"/>
        <v>90</v>
      </c>
    </row>
    <row r="1513" spans="15:15" x14ac:dyDescent="0.25">
      <c r="O1513" s="84">
        <f t="shared" si="29"/>
        <v>90</v>
      </c>
    </row>
    <row r="1514" spans="15:15" x14ac:dyDescent="0.25">
      <c r="O1514" s="84">
        <f t="shared" si="29"/>
        <v>90</v>
      </c>
    </row>
    <row r="1515" spans="15:15" x14ac:dyDescent="0.25">
      <c r="O1515" s="84">
        <f t="shared" si="29"/>
        <v>90</v>
      </c>
    </row>
    <row r="1516" spans="15:15" x14ac:dyDescent="0.25">
      <c r="O1516" s="84">
        <f t="shared" si="29"/>
        <v>90</v>
      </c>
    </row>
    <row r="1517" spans="15:15" x14ac:dyDescent="0.25">
      <c r="O1517" s="84">
        <f t="shared" si="29"/>
        <v>90</v>
      </c>
    </row>
    <row r="1518" spans="15:15" x14ac:dyDescent="0.25">
      <c r="O1518" s="84">
        <f t="shared" si="29"/>
        <v>90</v>
      </c>
    </row>
    <row r="1519" spans="15:15" x14ac:dyDescent="0.25">
      <c r="O1519" s="84">
        <f t="shared" si="29"/>
        <v>90</v>
      </c>
    </row>
    <row r="1520" spans="15:15" x14ac:dyDescent="0.25">
      <c r="O1520" s="84">
        <f t="shared" si="29"/>
        <v>90</v>
      </c>
    </row>
    <row r="1521" spans="15:15" x14ac:dyDescent="0.25">
      <c r="O1521" s="84">
        <f t="shared" si="29"/>
        <v>90</v>
      </c>
    </row>
    <row r="1522" spans="15:15" x14ac:dyDescent="0.25">
      <c r="O1522" s="84">
        <f t="shared" si="29"/>
        <v>90</v>
      </c>
    </row>
    <row r="1523" spans="15:15" x14ac:dyDescent="0.25">
      <c r="O1523" s="84">
        <f t="shared" si="29"/>
        <v>90</v>
      </c>
    </row>
    <row r="1524" spans="15:15" x14ac:dyDescent="0.25">
      <c r="O1524" s="84">
        <f t="shared" si="29"/>
        <v>90</v>
      </c>
    </row>
    <row r="1525" spans="15:15" x14ac:dyDescent="0.25">
      <c r="O1525" s="84">
        <f t="shared" si="29"/>
        <v>90</v>
      </c>
    </row>
    <row r="1526" spans="15:15" x14ac:dyDescent="0.25">
      <c r="O1526" s="84">
        <f t="shared" si="29"/>
        <v>90</v>
      </c>
    </row>
    <row r="1527" spans="15:15" x14ac:dyDescent="0.25">
      <c r="O1527" s="84">
        <f t="shared" si="29"/>
        <v>90</v>
      </c>
    </row>
    <row r="1528" spans="15:15" x14ac:dyDescent="0.25">
      <c r="O1528" s="84">
        <f t="shared" si="29"/>
        <v>90</v>
      </c>
    </row>
    <row r="1529" spans="15:15" x14ac:dyDescent="0.25">
      <c r="O1529" s="84">
        <f t="shared" si="29"/>
        <v>90</v>
      </c>
    </row>
    <row r="1530" spans="15:15" x14ac:dyDescent="0.25">
      <c r="O1530" s="84">
        <f t="shared" si="29"/>
        <v>90</v>
      </c>
    </row>
    <row r="1531" spans="15:15" x14ac:dyDescent="0.25">
      <c r="O1531" s="84">
        <f t="shared" si="29"/>
        <v>90</v>
      </c>
    </row>
    <row r="1532" spans="15:15" x14ac:dyDescent="0.25">
      <c r="O1532" s="84">
        <f t="shared" si="29"/>
        <v>90</v>
      </c>
    </row>
    <row r="1533" spans="15:15" x14ac:dyDescent="0.25">
      <c r="O1533" s="84">
        <f t="shared" si="29"/>
        <v>90</v>
      </c>
    </row>
    <row r="1534" spans="15:15" x14ac:dyDescent="0.25">
      <c r="O1534" s="84">
        <f t="shared" si="29"/>
        <v>90</v>
      </c>
    </row>
    <row r="1535" spans="15:15" x14ac:dyDescent="0.25">
      <c r="O1535" s="84">
        <f t="shared" si="29"/>
        <v>90</v>
      </c>
    </row>
    <row r="1536" spans="15:15" x14ac:dyDescent="0.25">
      <c r="O1536" s="84">
        <f t="shared" si="29"/>
        <v>90</v>
      </c>
    </row>
    <row r="1537" spans="15:15" x14ac:dyDescent="0.25">
      <c r="O1537" s="84">
        <f t="shared" si="29"/>
        <v>90</v>
      </c>
    </row>
    <row r="1538" spans="15:15" x14ac:dyDescent="0.25">
      <c r="O1538" s="84">
        <f t="shared" si="29"/>
        <v>90</v>
      </c>
    </row>
    <row r="1539" spans="15:15" x14ac:dyDescent="0.25">
      <c r="O1539" s="84">
        <f t="shared" ref="O1539:O1602" si="30">90-P1539</f>
        <v>90</v>
      </c>
    </row>
    <row r="1540" spans="15:15" x14ac:dyDescent="0.25">
      <c r="O1540" s="84">
        <f t="shared" si="30"/>
        <v>90</v>
      </c>
    </row>
    <row r="1541" spans="15:15" x14ac:dyDescent="0.25">
      <c r="O1541" s="84">
        <f t="shared" si="30"/>
        <v>90</v>
      </c>
    </row>
    <row r="1542" spans="15:15" x14ac:dyDescent="0.25">
      <c r="O1542" s="84">
        <f t="shared" si="30"/>
        <v>90</v>
      </c>
    </row>
    <row r="1543" spans="15:15" x14ac:dyDescent="0.25">
      <c r="O1543" s="84">
        <f t="shared" si="30"/>
        <v>90</v>
      </c>
    </row>
    <row r="1544" spans="15:15" x14ac:dyDescent="0.25">
      <c r="O1544" s="84">
        <f t="shared" si="30"/>
        <v>90</v>
      </c>
    </row>
    <row r="1545" spans="15:15" x14ac:dyDescent="0.25">
      <c r="O1545" s="84">
        <f t="shared" si="30"/>
        <v>90</v>
      </c>
    </row>
    <row r="1546" spans="15:15" x14ac:dyDescent="0.25">
      <c r="O1546" s="84">
        <f t="shared" si="30"/>
        <v>90</v>
      </c>
    </row>
    <row r="1547" spans="15:15" x14ac:dyDescent="0.25">
      <c r="O1547" s="84">
        <f t="shared" si="30"/>
        <v>90</v>
      </c>
    </row>
    <row r="1548" spans="15:15" x14ac:dyDescent="0.25">
      <c r="O1548" s="84">
        <f t="shared" si="30"/>
        <v>90</v>
      </c>
    </row>
    <row r="1549" spans="15:15" x14ac:dyDescent="0.25">
      <c r="O1549" s="84">
        <f t="shared" si="30"/>
        <v>90</v>
      </c>
    </row>
    <row r="1550" spans="15:15" x14ac:dyDescent="0.25">
      <c r="O1550" s="84">
        <f t="shared" si="30"/>
        <v>90</v>
      </c>
    </row>
    <row r="1551" spans="15:15" x14ac:dyDescent="0.25">
      <c r="O1551" s="84">
        <f t="shared" si="30"/>
        <v>90</v>
      </c>
    </row>
    <row r="1552" spans="15:15" x14ac:dyDescent="0.25">
      <c r="O1552" s="84">
        <f t="shared" si="30"/>
        <v>90</v>
      </c>
    </row>
    <row r="1553" spans="15:15" x14ac:dyDescent="0.25">
      <c r="O1553" s="84">
        <f t="shared" si="30"/>
        <v>90</v>
      </c>
    </row>
    <row r="1554" spans="15:15" x14ac:dyDescent="0.25">
      <c r="O1554" s="84">
        <f t="shared" si="30"/>
        <v>90</v>
      </c>
    </row>
    <row r="1555" spans="15:15" x14ac:dyDescent="0.25">
      <c r="O1555" s="84">
        <f t="shared" si="30"/>
        <v>90</v>
      </c>
    </row>
    <row r="1556" spans="15:15" x14ac:dyDescent="0.25">
      <c r="O1556" s="84">
        <f t="shared" si="30"/>
        <v>90</v>
      </c>
    </row>
    <row r="1557" spans="15:15" x14ac:dyDescent="0.25">
      <c r="O1557" s="84">
        <f t="shared" si="30"/>
        <v>90</v>
      </c>
    </row>
    <row r="1558" spans="15:15" x14ac:dyDescent="0.25">
      <c r="O1558" s="84">
        <f t="shared" si="30"/>
        <v>90</v>
      </c>
    </row>
    <row r="1559" spans="15:15" x14ac:dyDescent="0.25">
      <c r="O1559" s="84">
        <f t="shared" si="30"/>
        <v>90</v>
      </c>
    </row>
    <row r="1560" spans="15:15" x14ac:dyDescent="0.25">
      <c r="O1560" s="84">
        <f t="shared" si="30"/>
        <v>90</v>
      </c>
    </row>
    <row r="1561" spans="15:15" x14ac:dyDescent="0.25">
      <c r="O1561" s="84">
        <f t="shared" si="30"/>
        <v>90</v>
      </c>
    </row>
    <row r="1562" spans="15:15" x14ac:dyDescent="0.25">
      <c r="O1562" s="84">
        <f t="shared" si="30"/>
        <v>90</v>
      </c>
    </row>
    <row r="1563" spans="15:15" x14ac:dyDescent="0.25">
      <c r="O1563" s="84">
        <f t="shared" si="30"/>
        <v>90</v>
      </c>
    </row>
    <row r="1564" spans="15:15" x14ac:dyDescent="0.25">
      <c r="O1564" s="84">
        <f t="shared" si="30"/>
        <v>90</v>
      </c>
    </row>
    <row r="1565" spans="15:15" x14ac:dyDescent="0.25">
      <c r="O1565" s="84">
        <f t="shared" si="30"/>
        <v>90</v>
      </c>
    </row>
    <row r="1566" spans="15:15" x14ac:dyDescent="0.25">
      <c r="O1566" s="84">
        <f t="shared" si="30"/>
        <v>90</v>
      </c>
    </row>
    <row r="1567" spans="15:15" x14ac:dyDescent="0.25">
      <c r="O1567" s="84">
        <f t="shared" si="30"/>
        <v>90</v>
      </c>
    </row>
    <row r="1568" spans="15:15" x14ac:dyDescent="0.25">
      <c r="O1568" s="84">
        <f t="shared" si="30"/>
        <v>90</v>
      </c>
    </row>
    <row r="1569" spans="15:15" x14ac:dyDescent="0.25">
      <c r="O1569" s="84">
        <f t="shared" si="30"/>
        <v>90</v>
      </c>
    </row>
    <row r="1570" spans="15:15" x14ac:dyDescent="0.25">
      <c r="O1570" s="84">
        <f t="shared" si="30"/>
        <v>90</v>
      </c>
    </row>
    <row r="1571" spans="15:15" x14ac:dyDescent="0.25">
      <c r="O1571" s="84">
        <f t="shared" si="30"/>
        <v>90</v>
      </c>
    </row>
    <row r="1572" spans="15:15" x14ac:dyDescent="0.25">
      <c r="O1572" s="84">
        <f t="shared" si="30"/>
        <v>90</v>
      </c>
    </row>
    <row r="1573" spans="15:15" x14ac:dyDescent="0.25">
      <c r="O1573" s="84">
        <f t="shared" si="30"/>
        <v>90</v>
      </c>
    </row>
    <row r="1574" spans="15:15" x14ac:dyDescent="0.25">
      <c r="O1574" s="84">
        <f t="shared" si="30"/>
        <v>90</v>
      </c>
    </row>
    <row r="1575" spans="15:15" x14ac:dyDescent="0.25">
      <c r="O1575" s="84">
        <f t="shared" si="30"/>
        <v>90</v>
      </c>
    </row>
    <row r="1576" spans="15:15" x14ac:dyDescent="0.25">
      <c r="O1576" s="84">
        <f t="shared" si="30"/>
        <v>90</v>
      </c>
    </row>
    <row r="1577" spans="15:15" x14ac:dyDescent="0.25">
      <c r="O1577" s="84">
        <f t="shared" si="30"/>
        <v>90</v>
      </c>
    </row>
    <row r="1578" spans="15:15" x14ac:dyDescent="0.25">
      <c r="O1578" s="84">
        <f t="shared" si="30"/>
        <v>90</v>
      </c>
    </row>
    <row r="1579" spans="15:15" x14ac:dyDescent="0.25">
      <c r="O1579" s="84">
        <f t="shared" si="30"/>
        <v>90</v>
      </c>
    </row>
    <row r="1580" spans="15:15" x14ac:dyDescent="0.25">
      <c r="O1580" s="84">
        <f t="shared" si="30"/>
        <v>90</v>
      </c>
    </row>
    <row r="1581" spans="15:15" x14ac:dyDescent="0.25">
      <c r="O1581" s="84">
        <f t="shared" si="30"/>
        <v>90</v>
      </c>
    </row>
    <row r="1582" spans="15:15" x14ac:dyDescent="0.25">
      <c r="O1582" s="84">
        <f t="shared" si="30"/>
        <v>90</v>
      </c>
    </row>
    <row r="1583" spans="15:15" x14ac:dyDescent="0.25">
      <c r="O1583" s="84">
        <f t="shared" si="30"/>
        <v>90</v>
      </c>
    </row>
    <row r="1584" spans="15:15" x14ac:dyDescent="0.25">
      <c r="O1584" s="84">
        <f t="shared" si="30"/>
        <v>90</v>
      </c>
    </row>
    <row r="1585" spans="15:15" x14ac:dyDescent="0.25">
      <c r="O1585" s="84">
        <f t="shared" si="30"/>
        <v>90</v>
      </c>
    </row>
    <row r="1586" spans="15:15" x14ac:dyDescent="0.25">
      <c r="O1586" s="84">
        <f t="shared" si="30"/>
        <v>90</v>
      </c>
    </row>
    <row r="1587" spans="15:15" x14ac:dyDescent="0.25">
      <c r="O1587" s="84">
        <f t="shared" si="30"/>
        <v>90</v>
      </c>
    </row>
    <row r="1588" spans="15:15" x14ac:dyDescent="0.25">
      <c r="O1588" s="84">
        <f t="shared" si="30"/>
        <v>90</v>
      </c>
    </row>
    <row r="1589" spans="15:15" x14ac:dyDescent="0.25">
      <c r="O1589" s="84">
        <f t="shared" si="30"/>
        <v>90</v>
      </c>
    </row>
    <row r="1590" spans="15:15" x14ac:dyDescent="0.25">
      <c r="O1590" s="84">
        <f t="shared" si="30"/>
        <v>90</v>
      </c>
    </row>
    <row r="1591" spans="15:15" x14ac:dyDescent="0.25">
      <c r="O1591" s="84">
        <f t="shared" si="30"/>
        <v>90</v>
      </c>
    </row>
    <row r="1592" spans="15:15" x14ac:dyDescent="0.25">
      <c r="O1592" s="84">
        <f t="shared" si="30"/>
        <v>90</v>
      </c>
    </row>
    <row r="1593" spans="15:15" x14ac:dyDescent="0.25">
      <c r="O1593" s="84">
        <f t="shared" si="30"/>
        <v>90</v>
      </c>
    </row>
    <row r="1594" spans="15:15" x14ac:dyDescent="0.25">
      <c r="O1594" s="84">
        <f t="shared" si="30"/>
        <v>90</v>
      </c>
    </row>
    <row r="1595" spans="15:15" x14ac:dyDescent="0.25">
      <c r="O1595" s="84">
        <f t="shared" si="30"/>
        <v>90</v>
      </c>
    </row>
    <row r="1596" spans="15:15" x14ac:dyDescent="0.25">
      <c r="O1596" s="84">
        <f t="shared" si="30"/>
        <v>90</v>
      </c>
    </row>
    <row r="1597" spans="15:15" x14ac:dyDescent="0.25">
      <c r="O1597" s="84">
        <f t="shared" si="30"/>
        <v>90</v>
      </c>
    </row>
    <row r="1598" spans="15:15" x14ac:dyDescent="0.25">
      <c r="O1598" s="84">
        <f t="shared" si="30"/>
        <v>90</v>
      </c>
    </row>
    <row r="1599" spans="15:15" x14ac:dyDescent="0.25">
      <c r="O1599" s="84">
        <f t="shared" si="30"/>
        <v>90</v>
      </c>
    </row>
    <row r="1600" spans="15:15" x14ac:dyDescent="0.25">
      <c r="O1600" s="84">
        <f t="shared" si="30"/>
        <v>90</v>
      </c>
    </row>
    <row r="1601" spans="15:15" x14ac:dyDescent="0.25">
      <c r="O1601" s="84">
        <f t="shared" si="30"/>
        <v>90</v>
      </c>
    </row>
    <row r="1602" spans="15:15" x14ac:dyDescent="0.25">
      <c r="O1602" s="84">
        <f t="shared" si="30"/>
        <v>90</v>
      </c>
    </row>
    <row r="1603" spans="15:15" x14ac:dyDescent="0.25">
      <c r="O1603" s="84">
        <f t="shared" ref="O1603:O1666" si="31">90-P1603</f>
        <v>90</v>
      </c>
    </row>
    <row r="1604" spans="15:15" x14ac:dyDescent="0.25">
      <c r="O1604" s="84">
        <f t="shared" si="31"/>
        <v>90</v>
      </c>
    </row>
    <row r="1605" spans="15:15" x14ac:dyDescent="0.25">
      <c r="O1605" s="84">
        <f t="shared" si="31"/>
        <v>90</v>
      </c>
    </row>
    <row r="1606" spans="15:15" x14ac:dyDescent="0.25">
      <c r="O1606" s="84">
        <f t="shared" si="31"/>
        <v>90</v>
      </c>
    </row>
    <row r="1607" spans="15:15" x14ac:dyDescent="0.25">
      <c r="O1607" s="84">
        <f t="shared" si="31"/>
        <v>90</v>
      </c>
    </row>
    <row r="1608" spans="15:15" x14ac:dyDescent="0.25">
      <c r="O1608" s="84">
        <f t="shared" si="31"/>
        <v>90</v>
      </c>
    </row>
    <row r="1609" spans="15:15" x14ac:dyDescent="0.25">
      <c r="O1609" s="84">
        <f t="shared" si="31"/>
        <v>90</v>
      </c>
    </row>
    <row r="1610" spans="15:15" x14ac:dyDescent="0.25">
      <c r="O1610" s="84">
        <f t="shared" si="31"/>
        <v>90</v>
      </c>
    </row>
    <row r="1611" spans="15:15" x14ac:dyDescent="0.25">
      <c r="O1611" s="84">
        <f t="shared" si="31"/>
        <v>90</v>
      </c>
    </row>
    <row r="1612" spans="15:15" x14ac:dyDescent="0.25">
      <c r="O1612" s="84">
        <f t="shared" si="31"/>
        <v>90</v>
      </c>
    </row>
    <row r="1613" spans="15:15" x14ac:dyDescent="0.25">
      <c r="O1613" s="84">
        <f t="shared" si="31"/>
        <v>90</v>
      </c>
    </row>
    <row r="1614" spans="15:15" x14ac:dyDescent="0.25">
      <c r="O1614" s="84">
        <f t="shared" si="31"/>
        <v>90</v>
      </c>
    </row>
    <row r="1615" spans="15:15" x14ac:dyDescent="0.25">
      <c r="O1615" s="84">
        <f t="shared" si="31"/>
        <v>90</v>
      </c>
    </row>
    <row r="1616" spans="15:15" x14ac:dyDescent="0.25">
      <c r="O1616" s="84">
        <f t="shared" si="31"/>
        <v>90</v>
      </c>
    </row>
    <row r="1617" spans="15:15" x14ac:dyDescent="0.25">
      <c r="O1617" s="84">
        <f t="shared" si="31"/>
        <v>90</v>
      </c>
    </row>
    <row r="1618" spans="15:15" x14ac:dyDescent="0.25">
      <c r="O1618" s="84">
        <f t="shared" si="31"/>
        <v>90</v>
      </c>
    </row>
    <row r="1619" spans="15:15" x14ac:dyDescent="0.25">
      <c r="O1619" s="84">
        <f t="shared" si="31"/>
        <v>90</v>
      </c>
    </row>
    <row r="1620" spans="15:15" x14ac:dyDescent="0.25">
      <c r="O1620" s="84">
        <f t="shared" si="31"/>
        <v>90</v>
      </c>
    </row>
    <row r="1621" spans="15:15" x14ac:dyDescent="0.25">
      <c r="O1621" s="84">
        <f t="shared" si="31"/>
        <v>90</v>
      </c>
    </row>
    <row r="1622" spans="15:15" x14ac:dyDescent="0.25">
      <c r="O1622" s="84">
        <f t="shared" si="31"/>
        <v>90</v>
      </c>
    </row>
    <row r="1623" spans="15:15" x14ac:dyDescent="0.25">
      <c r="O1623" s="84">
        <f t="shared" si="31"/>
        <v>90</v>
      </c>
    </row>
    <row r="1624" spans="15:15" x14ac:dyDescent="0.25">
      <c r="O1624" s="84">
        <f t="shared" si="31"/>
        <v>90</v>
      </c>
    </row>
    <row r="1625" spans="15:15" x14ac:dyDescent="0.25">
      <c r="O1625" s="84">
        <f t="shared" si="31"/>
        <v>90</v>
      </c>
    </row>
    <row r="1626" spans="15:15" x14ac:dyDescent="0.25">
      <c r="O1626" s="84">
        <f t="shared" si="31"/>
        <v>90</v>
      </c>
    </row>
    <row r="1627" spans="15:15" x14ac:dyDescent="0.25">
      <c r="O1627" s="84">
        <f t="shared" si="31"/>
        <v>90</v>
      </c>
    </row>
    <row r="1628" spans="15:15" x14ac:dyDescent="0.25">
      <c r="O1628" s="84">
        <f t="shared" si="31"/>
        <v>90</v>
      </c>
    </row>
    <row r="1629" spans="15:15" x14ac:dyDescent="0.25">
      <c r="O1629" s="84">
        <f t="shared" si="31"/>
        <v>90</v>
      </c>
    </row>
    <row r="1630" spans="15:15" x14ac:dyDescent="0.25">
      <c r="O1630" s="84">
        <f t="shared" si="31"/>
        <v>90</v>
      </c>
    </row>
    <row r="1631" spans="15:15" x14ac:dyDescent="0.25">
      <c r="O1631" s="84">
        <f t="shared" si="31"/>
        <v>90</v>
      </c>
    </row>
    <row r="1632" spans="15:15" x14ac:dyDescent="0.25">
      <c r="O1632" s="84">
        <f t="shared" si="31"/>
        <v>90</v>
      </c>
    </row>
    <row r="1633" spans="15:15" x14ac:dyDescent="0.25">
      <c r="O1633" s="84">
        <f t="shared" si="31"/>
        <v>90</v>
      </c>
    </row>
    <row r="1634" spans="15:15" x14ac:dyDescent="0.25">
      <c r="O1634" s="84">
        <f t="shared" si="31"/>
        <v>90</v>
      </c>
    </row>
    <row r="1635" spans="15:15" x14ac:dyDescent="0.25">
      <c r="O1635" s="84">
        <f t="shared" si="31"/>
        <v>90</v>
      </c>
    </row>
    <row r="1636" spans="15:15" x14ac:dyDescent="0.25">
      <c r="O1636" s="84">
        <f t="shared" si="31"/>
        <v>90</v>
      </c>
    </row>
    <row r="1637" spans="15:15" x14ac:dyDescent="0.25">
      <c r="O1637" s="84">
        <f t="shared" si="31"/>
        <v>90</v>
      </c>
    </row>
    <row r="1638" spans="15:15" x14ac:dyDescent="0.25">
      <c r="O1638" s="84">
        <f t="shared" si="31"/>
        <v>90</v>
      </c>
    </row>
    <row r="1639" spans="15:15" x14ac:dyDescent="0.25">
      <c r="O1639" s="84">
        <f t="shared" si="31"/>
        <v>90</v>
      </c>
    </row>
    <row r="1640" spans="15:15" x14ac:dyDescent="0.25">
      <c r="O1640" s="84">
        <f t="shared" si="31"/>
        <v>90</v>
      </c>
    </row>
    <row r="1641" spans="15:15" x14ac:dyDescent="0.25">
      <c r="O1641" s="84">
        <f t="shared" si="31"/>
        <v>90</v>
      </c>
    </row>
    <row r="1642" spans="15:15" x14ac:dyDescent="0.25">
      <c r="O1642" s="84">
        <f t="shared" si="31"/>
        <v>90</v>
      </c>
    </row>
    <row r="1643" spans="15:15" x14ac:dyDescent="0.25">
      <c r="O1643" s="84">
        <f t="shared" si="31"/>
        <v>90</v>
      </c>
    </row>
    <row r="1644" spans="15:15" x14ac:dyDescent="0.25">
      <c r="O1644" s="84">
        <f t="shared" si="31"/>
        <v>90</v>
      </c>
    </row>
    <row r="1645" spans="15:15" x14ac:dyDescent="0.25">
      <c r="O1645" s="84">
        <f t="shared" si="31"/>
        <v>90</v>
      </c>
    </row>
    <row r="1646" spans="15:15" x14ac:dyDescent="0.25">
      <c r="O1646" s="84">
        <f t="shared" si="31"/>
        <v>90</v>
      </c>
    </row>
    <row r="1647" spans="15:15" x14ac:dyDescent="0.25">
      <c r="O1647" s="84">
        <f t="shared" si="31"/>
        <v>90</v>
      </c>
    </row>
    <row r="1648" spans="15:15" x14ac:dyDescent="0.25">
      <c r="O1648" s="84">
        <f t="shared" si="31"/>
        <v>90</v>
      </c>
    </row>
    <row r="1649" spans="15:15" x14ac:dyDescent="0.25">
      <c r="O1649" s="84">
        <f t="shared" si="31"/>
        <v>90</v>
      </c>
    </row>
    <row r="1650" spans="15:15" x14ac:dyDescent="0.25">
      <c r="O1650" s="84">
        <f t="shared" si="31"/>
        <v>90</v>
      </c>
    </row>
    <row r="1651" spans="15:15" x14ac:dyDescent="0.25">
      <c r="O1651" s="84">
        <f t="shared" si="31"/>
        <v>90</v>
      </c>
    </row>
    <row r="1652" spans="15:15" x14ac:dyDescent="0.25">
      <c r="O1652" s="84">
        <f t="shared" si="31"/>
        <v>90</v>
      </c>
    </row>
    <row r="1653" spans="15:15" x14ac:dyDescent="0.25">
      <c r="O1653" s="84">
        <f t="shared" si="31"/>
        <v>90</v>
      </c>
    </row>
    <row r="1654" spans="15:15" x14ac:dyDescent="0.25">
      <c r="O1654" s="84">
        <f t="shared" si="31"/>
        <v>90</v>
      </c>
    </row>
    <row r="1655" spans="15:15" x14ac:dyDescent="0.25">
      <c r="O1655" s="84">
        <f t="shared" si="31"/>
        <v>90</v>
      </c>
    </row>
    <row r="1656" spans="15:15" x14ac:dyDescent="0.25">
      <c r="O1656" s="84">
        <f t="shared" si="31"/>
        <v>90</v>
      </c>
    </row>
    <row r="1657" spans="15:15" x14ac:dyDescent="0.25">
      <c r="O1657" s="84">
        <f t="shared" si="31"/>
        <v>90</v>
      </c>
    </row>
    <row r="1658" spans="15:15" x14ac:dyDescent="0.25">
      <c r="O1658" s="84">
        <f t="shared" si="31"/>
        <v>90</v>
      </c>
    </row>
    <row r="1659" spans="15:15" x14ac:dyDescent="0.25">
      <c r="O1659" s="84">
        <f t="shared" si="31"/>
        <v>90</v>
      </c>
    </row>
    <row r="1660" spans="15:15" x14ac:dyDescent="0.25">
      <c r="O1660" s="84">
        <f t="shared" si="31"/>
        <v>90</v>
      </c>
    </row>
    <row r="1661" spans="15:15" x14ac:dyDescent="0.25">
      <c r="O1661" s="84">
        <f t="shared" si="31"/>
        <v>90</v>
      </c>
    </row>
    <row r="1662" spans="15:15" x14ac:dyDescent="0.25">
      <c r="O1662" s="84">
        <f t="shared" si="31"/>
        <v>90</v>
      </c>
    </row>
    <row r="1663" spans="15:15" x14ac:dyDescent="0.25">
      <c r="O1663" s="84">
        <f t="shared" si="31"/>
        <v>90</v>
      </c>
    </row>
    <row r="1664" spans="15:15" x14ac:dyDescent="0.25">
      <c r="O1664" s="84">
        <f t="shared" si="31"/>
        <v>90</v>
      </c>
    </row>
    <row r="1665" spans="15:15" x14ac:dyDescent="0.25">
      <c r="O1665" s="84">
        <f t="shared" si="31"/>
        <v>90</v>
      </c>
    </row>
    <row r="1666" spans="15:15" x14ac:dyDescent="0.25">
      <c r="O1666" s="84">
        <f t="shared" si="31"/>
        <v>90</v>
      </c>
    </row>
    <row r="1667" spans="15:15" x14ac:dyDescent="0.25">
      <c r="O1667" s="84">
        <f t="shared" ref="O1667:O1730" si="32">90-P1667</f>
        <v>90</v>
      </c>
    </row>
    <row r="1668" spans="15:15" x14ac:dyDescent="0.25">
      <c r="O1668" s="84">
        <f t="shared" si="32"/>
        <v>90</v>
      </c>
    </row>
    <row r="1669" spans="15:15" x14ac:dyDescent="0.25">
      <c r="O1669" s="84">
        <f t="shared" si="32"/>
        <v>90</v>
      </c>
    </row>
    <row r="1670" spans="15:15" x14ac:dyDescent="0.25">
      <c r="O1670" s="84">
        <f t="shared" si="32"/>
        <v>90</v>
      </c>
    </row>
    <row r="1671" spans="15:15" x14ac:dyDescent="0.25">
      <c r="O1671" s="84">
        <f t="shared" si="32"/>
        <v>90</v>
      </c>
    </row>
    <row r="1672" spans="15:15" x14ac:dyDescent="0.25">
      <c r="O1672" s="84">
        <f t="shared" si="32"/>
        <v>90</v>
      </c>
    </row>
    <row r="1673" spans="15:15" x14ac:dyDescent="0.25">
      <c r="O1673" s="84">
        <f t="shared" si="32"/>
        <v>90</v>
      </c>
    </row>
    <row r="1674" spans="15:15" x14ac:dyDescent="0.25">
      <c r="O1674" s="84">
        <f t="shared" si="32"/>
        <v>90</v>
      </c>
    </row>
    <row r="1675" spans="15:15" x14ac:dyDescent="0.25">
      <c r="O1675" s="84">
        <f t="shared" si="32"/>
        <v>90</v>
      </c>
    </row>
    <row r="1676" spans="15:15" x14ac:dyDescent="0.25">
      <c r="O1676" s="84">
        <f t="shared" si="32"/>
        <v>90</v>
      </c>
    </row>
    <row r="1677" spans="15:15" x14ac:dyDescent="0.25">
      <c r="O1677" s="84">
        <f t="shared" si="32"/>
        <v>90</v>
      </c>
    </row>
    <row r="1678" spans="15:15" x14ac:dyDescent="0.25">
      <c r="O1678" s="84">
        <f t="shared" si="32"/>
        <v>90</v>
      </c>
    </row>
    <row r="1679" spans="15:15" x14ac:dyDescent="0.25">
      <c r="O1679" s="84">
        <f t="shared" si="32"/>
        <v>90</v>
      </c>
    </row>
    <row r="1680" spans="15:15" x14ac:dyDescent="0.25">
      <c r="O1680" s="84">
        <f t="shared" si="32"/>
        <v>90</v>
      </c>
    </row>
    <row r="1681" spans="15:15" x14ac:dyDescent="0.25">
      <c r="O1681" s="84">
        <f t="shared" si="32"/>
        <v>90</v>
      </c>
    </row>
    <row r="1682" spans="15:15" x14ac:dyDescent="0.25">
      <c r="O1682" s="84">
        <f t="shared" si="32"/>
        <v>90</v>
      </c>
    </row>
    <row r="1683" spans="15:15" x14ac:dyDescent="0.25">
      <c r="O1683" s="84">
        <f t="shared" si="32"/>
        <v>90</v>
      </c>
    </row>
    <row r="1684" spans="15:15" x14ac:dyDescent="0.25">
      <c r="O1684" s="84">
        <f t="shared" si="32"/>
        <v>90</v>
      </c>
    </row>
    <row r="1685" spans="15:15" x14ac:dyDescent="0.25">
      <c r="O1685" s="84">
        <f t="shared" si="32"/>
        <v>90</v>
      </c>
    </row>
    <row r="1686" spans="15:15" x14ac:dyDescent="0.25">
      <c r="O1686" s="84">
        <f t="shared" si="32"/>
        <v>90</v>
      </c>
    </row>
    <row r="1687" spans="15:15" x14ac:dyDescent="0.25">
      <c r="O1687" s="84">
        <f t="shared" si="32"/>
        <v>90</v>
      </c>
    </row>
    <row r="1688" spans="15:15" x14ac:dyDescent="0.25">
      <c r="O1688" s="84">
        <f t="shared" si="32"/>
        <v>90</v>
      </c>
    </row>
    <row r="1689" spans="15:15" x14ac:dyDescent="0.25">
      <c r="O1689" s="84">
        <f t="shared" si="32"/>
        <v>90</v>
      </c>
    </row>
    <row r="1690" spans="15:15" x14ac:dyDescent="0.25">
      <c r="O1690" s="84">
        <f t="shared" si="32"/>
        <v>90</v>
      </c>
    </row>
    <row r="1691" spans="15:15" x14ac:dyDescent="0.25">
      <c r="O1691" s="84">
        <f t="shared" si="32"/>
        <v>90</v>
      </c>
    </row>
    <row r="1692" spans="15:15" x14ac:dyDescent="0.25">
      <c r="O1692" s="84">
        <f t="shared" si="32"/>
        <v>90</v>
      </c>
    </row>
    <row r="1693" spans="15:15" x14ac:dyDescent="0.25">
      <c r="O1693" s="84">
        <f t="shared" si="32"/>
        <v>90</v>
      </c>
    </row>
    <row r="1694" spans="15:15" x14ac:dyDescent="0.25">
      <c r="O1694" s="84">
        <f t="shared" si="32"/>
        <v>90</v>
      </c>
    </row>
    <row r="1695" spans="15:15" x14ac:dyDescent="0.25">
      <c r="O1695" s="84">
        <f t="shared" si="32"/>
        <v>90</v>
      </c>
    </row>
    <row r="1696" spans="15:15" x14ac:dyDescent="0.25">
      <c r="O1696" s="84">
        <f t="shared" si="32"/>
        <v>90</v>
      </c>
    </row>
    <row r="1697" spans="15:15" x14ac:dyDescent="0.25">
      <c r="O1697" s="84">
        <f t="shared" si="32"/>
        <v>90</v>
      </c>
    </row>
    <row r="1698" spans="15:15" x14ac:dyDescent="0.25">
      <c r="O1698" s="84">
        <f t="shared" si="32"/>
        <v>90</v>
      </c>
    </row>
    <row r="1699" spans="15:15" x14ac:dyDescent="0.25">
      <c r="O1699" s="84">
        <f t="shared" si="32"/>
        <v>90</v>
      </c>
    </row>
    <row r="1700" spans="15:15" x14ac:dyDescent="0.25">
      <c r="O1700" s="84">
        <f t="shared" si="32"/>
        <v>90</v>
      </c>
    </row>
    <row r="1701" spans="15:15" x14ac:dyDescent="0.25">
      <c r="O1701" s="84">
        <f t="shared" si="32"/>
        <v>90</v>
      </c>
    </row>
    <row r="1702" spans="15:15" x14ac:dyDescent="0.25">
      <c r="O1702" s="84">
        <f t="shared" si="32"/>
        <v>90</v>
      </c>
    </row>
    <row r="1703" spans="15:15" x14ac:dyDescent="0.25">
      <c r="O1703" s="84">
        <f t="shared" si="32"/>
        <v>90</v>
      </c>
    </row>
    <row r="1704" spans="15:15" x14ac:dyDescent="0.25">
      <c r="O1704" s="84">
        <f t="shared" si="32"/>
        <v>90</v>
      </c>
    </row>
    <row r="1705" spans="15:15" x14ac:dyDescent="0.25">
      <c r="O1705" s="84">
        <f t="shared" si="32"/>
        <v>90</v>
      </c>
    </row>
    <row r="1706" spans="15:15" x14ac:dyDescent="0.25">
      <c r="O1706" s="84">
        <f t="shared" si="32"/>
        <v>90</v>
      </c>
    </row>
    <row r="1707" spans="15:15" x14ac:dyDescent="0.25">
      <c r="O1707" s="84">
        <f t="shared" si="32"/>
        <v>90</v>
      </c>
    </row>
    <row r="1708" spans="15:15" x14ac:dyDescent="0.25">
      <c r="O1708" s="84">
        <f t="shared" si="32"/>
        <v>90</v>
      </c>
    </row>
    <row r="1709" spans="15:15" x14ac:dyDescent="0.25">
      <c r="O1709" s="84">
        <f t="shared" si="32"/>
        <v>90</v>
      </c>
    </row>
    <row r="1710" spans="15:15" x14ac:dyDescent="0.25">
      <c r="O1710" s="84">
        <f t="shared" si="32"/>
        <v>90</v>
      </c>
    </row>
    <row r="1711" spans="15:15" x14ac:dyDescent="0.25">
      <c r="O1711" s="84">
        <f t="shared" si="32"/>
        <v>90</v>
      </c>
    </row>
    <row r="1712" spans="15:15" x14ac:dyDescent="0.25">
      <c r="O1712" s="84">
        <f t="shared" si="32"/>
        <v>90</v>
      </c>
    </row>
    <row r="1713" spans="15:15" x14ac:dyDescent="0.25">
      <c r="O1713" s="84">
        <f t="shared" si="32"/>
        <v>90</v>
      </c>
    </row>
    <row r="1714" spans="15:15" x14ac:dyDescent="0.25">
      <c r="O1714" s="84">
        <f t="shared" si="32"/>
        <v>90</v>
      </c>
    </row>
    <row r="1715" spans="15:15" x14ac:dyDescent="0.25">
      <c r="O1715" s="84">
        <f t="shared" si="32"/>
        <v>90</v>
      </c>
    </row>
    <row r="1716" spans="15:15" x14ac:dyDescent="0.25">
      <c r="O1716" s="84">
        <f t="shared" si="32"/>
        <v>90</v>
      </c>
    </row>
    <row r="1717" spans="15:15" x14ac:dyDescent="0.25">
      <c r="O1717" s="84">
        <f t="shared" si="32"/>
        <v>90</v>
      </c>
    </row>
    <row r="1718" spans="15:15" x14ac:dyDescent="0.25">
      <c r="O1718" s="84">
        <f t="shared" si="32"/>
        <v>90</v>
      </c>
    </row>
    <row r="1719" spans="15:15" x14ac:dyDescent="0.25">
      <c r="O1719" s="84">
        <f t="shared" si="32"/>
        <v>90</v>
      </c>
    </row>
    <row r="1720" spans="15:15" x14ac:dyDescent="0.25">
      <c r="O1720" s="84">
        <f t="shared" si="32"/>
        <v>90</v>
      </c>
    </row>
    <row r="1721" spans="15:15" x14ac:dyDescent="0.25">
      <c r="O1721" s="84">
        <f t="shared" si="32"/>
        <v>90</v>
      </c>
    </row>
    <row r="1722" spans="15:15" x14ac:dyDescent="0.25">
      <c r="O1722" s="84">
        <f t="shared" si="32"/>
        <v>90</v>
      </c>
    </row>
    <row r="1723" spans="15:15" x14ac:dyDescent="0.25">
      <c r="O1723" s="84">
        <f t="shared" si="32"/>
        <v>90</v>
      </c>
    </row>
    <row r="1724" spans="15:15" x14ac:dyDescent="0.25">
      <c r="O1724" s="84">
        <f t="shared" si="32"/>
        <v>90</v>
      </c>
    </row>
    <row r="1725" spans="15:15" x14ac:dyDescent="0.25">
      <c r="O1725" s="84">
        <f t="shared" si="32"/>
        <v>90</v>
      </c>
    </row>
    <row r="1726" spans="15:15" x14ac:dyDescent="0.25">
      <c r="O1726" s="84">
        <f t="shared" si="32"/>
        <v>90</v>
      </c>
    </row>
    <row r="1727" spans="15:15" x14ac:dyDescent="0.25">
      <c r="O1727" s="84">
        <f t="shared" si="32"/>
        <v>90</v>
      </c>
    </row>
    <row r="1728" spans="15:15" x14ac:dyDescent="0.25">
      <c r="O1728" s="84">
        <f t="shared" si="32"/>
        <v>90</v>
      </c>
    </row>
    <row r="1729" spans="15:15" x14ac:dyDescent="0.25">
      <c r="O1729" s="84">
        <f t="shared" si="32"/>
        <v>90</v>
      </c>
    </row>
    <row r="1730" spans="15:15" x14ac:dyDescent="0.25">
      <c r="O1730" s="84">
        <f t="shared" si="32"/>
        <v>90</v>
      </c>
    </row>
    <row r="1731" spans="15:15" x14ac:dyDescent="0.25">
      <c r="O1731" s="84">
        <f t="shared" ref="O1731:O1794" si="33">90-P1731</f>
        <v>90</v>
      </c>
    </row>
    <row r="1732" spans="15:15" x14ac:dyDescent="0.25">
      <c r="O1732" s="84">
        <f t="shared" si="33"/>
        <v>90</v>
      </c>
    </row>
    <row r="1733" spans="15:15" x14ac:dyDescent="0.25">
      <c r="O1733" s="84">
        <f t="shared" si="33"/>
        <v>90</v>
      </c>
    </row>
    <row r="1734" spans="15:15" x14ac:dyDescent="0.25">
      <c r="O1734" s="84">
        <f t="shared" si="33"/>
        <v>90</v>
      </c>
    </row>
    <row r="1735" spans="15:15" x14ac:dyDescent="0.25">
      <c r="O1735" s="84">
        <f t="shared" si="33"/>
        <v>90</v>
      </c>
    </row>
    <row r="1736" spans="15:15" x14ac:dyDescent="0.25">
      <c r="O1736" s="84">
        <f t="shared" si="33"/>
        <v>90</v>
      </c>
    </row>
    <row r="1737" spans="15:15" x14ac:dyDescent="0.25">
      <c r="O1737" s="84">
        <f t="shared" si="33"/>
        <v>90</v>
      </c>
    </row>
    <row r="1738" spans="15:15" x14ac:dyDescent="0.25">
      <c r="O1738" s="84">
        <f t="shared" si="33"/>
        <v>90</v>
      </c>
    </row>
    <row r="1739" spans="15:15" x14ac:dyDescent="0.25">
      <c r="O1739" s="84">
        <f t="shared" si="33"/>
        <v>90</v>
      </c>
    </row>
    <row r="1740" spans="15:15" x14ac:dyDescent="0.25">
      <c r="O1740" s="84">
        <f t="shared" si="33"/>
        <v>90</v>
      </c>
    </row>
    <row r="1741" spans="15:15" x14ac:dyDescent="0.25">
      <c r="O1741" s="84">
        <f t="shared" si="33"/>
        <v>90</v>
      </c>
    </row>
    <row r="1742" spans="15:15" x14ac:dyDescent="0.25">
      <c r="O1742" s="84">
        <f t="shared" si="33"/>
        <v>90</v>
      </c>
    </row>
    <row r="1743" spans="15:15" x14ac:dyDescent="0.25">
      <c r="O1743" s="84">
        <f t="shared" si="33"/>
        <v>90</v>
      </c>
    </row>
    <row r="1744" spans="15:15" x14ac:dyDescent="0.25">
      <c r="O1744" s="84">
        <f t="shared" si="33"/>
        <v>90</v>
      </c>
    </row>
    <row r="1745" spans="15:15" x14ac:dyDescent="0.25">
      <c r="O1745" s="84">
        <f t="shared" si="33"/>
        <v>90</v>
      </c>
    </row>
    <row r="1746" spans="15:15" x14ac:dyDescent="0.25">
      <c r="O1746" s="84">
        <f t="shared" si="33"/>
        <v>90</v>
      </c>
    </row>
    <row r="1747" spans="15:15" x14ac:dyDescent="0.25">
      <c r="O1747" s="84">
        <f t="shared" si="33"/>
        <v>90</v>
      </c>
    </row>
    <row r="1748" spans="15:15" x14ac:dyDescent="0.25">
      <c r="O1748" s="84">
        <f t="shared" si="33"/>
        <v>90</v>
      </c>
    </row>
    <row r="1749" spans="15:15" x14ac:dyDescent="0.25">
      <c r="O1749" s="84">
        <f t="shared" si="33"/>
        <v>90</v>
      </c>
    </row>
    <row r="1750" spans="15:15" x14ac:dyDescent="0.25">
      <c r="O1750" s="84">
        <f t="shared" si="33"/>
        <v>90</v>
      </c>
    </row>
    <row r="1751" spans="15:15" x14ac:dyDescent="0.25">
      <c r="O1751" s="84">
        <f t="shared" si="33"/>
        <v>90</v>
      </c>
    </row>
    <row r="1752" spans="15:15" x14ac:dyDescent="0.25">
      <c r="O1752" s="84">
        <f t="shared" si="33"/>
        <v>90</v>
      </c>
    </row>
    <row r="1753" spans="15:15" x14ac:dyDescent="0.25">
      <c r="O1753" s="84">
        <f t="shared" si="33"/>
        <v>90</v>
      </c>
    </row>
    <row r="1754" spans="15:15" x14ac:dyDescent="0.25">
      <c r="O1754" s="84">
        <f t="shared" si="33"/>
        <v>90</v>
      </c>
    </row>
    <row r="1755" spans="15:15" x14ac:dyDescent="0.25">
      <c r="O1755" s="84">
        <f t="shared" si="33"/>
        <v>90</v>
      </c>
    </row>
    <row r="1756" spans="15:15" x14ac:dyDescent="0.25">
      <c r="O1756" s="84">
        <f t="shared" si="33"/>
        <v>90</v>
      </c>
    </row>
    <row r="1757" spans="15:15" x14ac:dyDescent="0.25">
      <c r="O1757" s="84">
        <f t="shared" si="33"/>
        <v>90</v>
      </c>
    </row>
    <row r="1758" spans="15:15" x14ac:dyDescent="0.25">
      <c r="O1758" s="84">
        <f t="shared" si="33"/>
        <v>90</v>
      </c>
    </row>
    <row r="1759" spans="15:15" x14ac:dyDescent="0.25">
      <c r="O1759" s="84">
        <f t="shared" si="33"/>
        <v>90</v>
      </c>
    </row>
    <row r="1760" spans="15:15" x14ac:dyDescent="0.25">
      <c r="O1760" s="84">
        <f t="shared" si="33"/>
        <v>90</v>
      </c>
    </row>
    <row r="1761" spans="15:15" x14ac:dyDescent="0.25">
      <c r="O1761" s="84">
        <f t="shared" si="33"/>
        <v>90</v>
      </c>
    </row>
    <row r="1762" spans="15:15" x14ac:dyDescent="0.25">
      <c r="O1762" s="84">
        <f t="shared" si="33"/>
        <v>90</v>
      </c>
    </row>
    <row r="1763" spans="15:15" x14ac:dyDescent="0.25">
      <c r="O1763" s="84">
        <f t="shared" si="33"/>
        <v>90</v>
      </c>
    </row>
    <row r="1764" spans="15:15" x14ac:dyDescent="0.25">
      <c r="O1764" s="84">
        <f t="shared" si="33"/>
        <v>90</v>
      </c>
    </row>
    <row r="1765" spans="15:15" x14ac:dyDescent="0.25">
      <c r="O1765" s="84">
        <f t="shared" si="33"/>
        <v>90</v>
      </c>
    </row>
    <row r="1766" spans="15:15" x14ac:dyDescent="0.25">
      <c r="O1766" s="84">
        <f t="shared" si="33"/>
        <v>90</v>
      </c>
    </row>
    <row r="1767" spans="15:15" x14ac:dyDescent="0.25">
      <c r="O1767" s="84">
        <f t="shared" si="33"/>
        <v>90</v>
      </c>
    </row>
    <row r="1768" spans="15:15" x14ac:dyDescent="0.25">
      <c r="O1768" s="84">
        <f t="shared" si="33"/>
        <v>90</v>
      </c>
    </row>
    <row r="1769" spans="15:15" x14ac:dyDescent="0.25">
      <c r="O1769" s="84">
        <f t="shared" si="33"/>
        <v>90</v>
      </c>
    </row>
    <row r="1770" spans="15:15" x14ac:dyDescent="0.25">
      <c r="O1770" s="84">
        <f t="shared" si="33"/>
        <v>90</v>
      </c>
    </row>
    <row r="1771" spans="15:15" x14ac:dyDescent="0.25">
      <c r="O1771" s="84">
        <f t="shared" si="33"/>
        <v>90</v>
      </c>
    </row>
    <row r="1772" spans="15:15" x14ac:dyDescent="0.25">
      <c r="O1772" s="84">
        <f t="shared" si="33"/>
        <v>90</v>
      </c>
    </row>
    <row r="1773" spans="15:15" x14ac:dyDescent="0.25">
      <c r="O1773" s="84">
        <f t="shared" si="33"/>
        <v>90</v>
      </c>
    </row>
    <row r="1774" spans="15:15" x14ac:dyDescent="0.25">
      <c r="O1774" s="84">
        <f t="shared" si="33"/>
        <v>90</v>
      </c>
    </row>
    <row r="1775" spans="15:15" x14ac:dyDescent="0.25">
      <c r="O1775" s="84">
        <f t="shared" si="33"/>
        <v>90</v>
      </c>
    </row>
    <row r="1776" spans="15:15" x14ac:dyDescent="0.25">
      <c r="O1776" s="84">
        <f t="shared" si="33"/>
        <v>90</v>
      </c>
    </row>
    <row r="1777" spans="15:15" x14ac:dyDescent="0.25">
      <c r="O1777" s="84">
        <f t="shared" si="33"/>
        <v>90</v>
      </c>
    </row>
    <row r="1778" spans="15:15" x14ac:dyDescent="0.25">
      <c r="O1778" s="84">
        <f t="shared" si="33"/>
        <v>90</v>
      </c>
    </row>
    <row r="1779" spans="15:15" x14ac:dyDescent="0.25">
      <c r="O1779" s="84">
        <f t="shared" si="33"/>
        <v>90</v>
      </c>
    </row>
    <row r="1780" spans="15:15" x14ac:dyDescent="0.25">
      <c r="O1780" s="84">
        <f t="shared" si="33"/>
        <v>90</v>
      </c>
    </row>
    <row r="1781" spans="15:15" x14ac:dyDescent="0.25">
      <c r="O1781" s="84">
        <f t="shared" si="33"/>
        <v>90</v>
      </c>
    </row>
    <row r="1782" spans="15:15" x14ac:dyDescent="0.25">
      <c r="O1782" s="84">
        <f t="shared" si="33"/>
        <v>90</v>
      </c>
    </row>
    <row r="1783" spans="15:15" x14ac:dyDescent="0.25">
      <c r="O1783" s="84">
        <f t="shared" si="33"/>
        <v>90</v>
      </c>
    </row>
    <row r="1784" spans="15:15" x14ac:dyDescent="0.25">
      <c r="O1784" s="84">
        <f t="shared" si="33"/>
        <v>90</v>
      </c>
    </row>
    <row r="1785" spans="15:15" x14ac:dyDescent="0.25">
      <c r="O1785" s="84">
        <f t="shared" si="33"/>
        <v>90</v>
      </c>
    </row>
    <row r="1786" spans="15:15" x14ac:dyDescent="0.25">
      <c r="O1786" s="84">
        <f t="shared" si="33"/>
        <v>90</v>
      </c>
    </row>
    <row r="1787" spans="15:15" x14ac:dyDescent="0.25">
      <c r="O1787" s="84">
        <f t="shared" si="33"/>
        <v>90</v>
      </c>
    </row>
    <row r="1788" spans="15:15" x14ac:dyDescent="0.25">
      <c r="O1788" s="84">
        <f t="shared" si="33"/>
        <v>90</v>
      </c>
    </row>
    <row r="1789" spans="15:15" x14ac:dyDescent="0.25">
      <c r="O1789" s="84">
        <f t="shared" si="33"/>
        <v>90</v>
      </c>
    </row>
    <row r="1790" spans="15:15" x14ac:dyDescent="0.25">
      <c r="O1790" s="84">
        <f t="shared" si="33"/>
        <v>90</v>
      </c>
    </row>
    <row r="1791" spans="15:15" x14ac:dyDescent="0.25">
      <c r="O1791" s="84">
        <f t="shared" si="33"/>
        <v>90</v>
      </c>
    </row>
    <row r="1792" spans="15:15" x14ac:dyDescent="0.25">
      <c r="O1792" s="84">
        <f t="shared" si="33"/>
        <v>90</v>
      </c>
    </row>
    <row r="1793" spans="15:15" x14ac:dyDescent="0.25">
      <c r="O1793" s="84">
        <f t="shared" si="33"/>
        <v>90</v>
      </c>
    </row>
    <row r="1794" spans="15:15" x14ac:dyDescent="0.25">
      <c r="O1794" s="84">
        <f t="shared" si="33"/>
        <v>90</v>
      </c>
    </row>
    <row r="1795" spans="15:15" x14ac:dyDescent="0.25">
      <c r="O1795" s="84">
        <f t="shared" ref="O1795:O1858" si="34">90-P1795</f>
        <v>90</v>
      </c>
    </row>
    <row r="1796" spans="15:15" x14ac:dyDescent="0.25">
      <c r="O1796" s="84">
        <f t="shared" si="34"/>
        <v>90</v>
      </c>
    </row>
    <row r="1797" spans="15:15" x14ac:dyDescent="0.25">
      <c r="O1797" s="84">
        <f t="shared" si="34"/>
        <v>90</v>
      </c>
    </row>
    <row r="1798" spans="15:15" x14ac:dyDescent="0.25">
      <c r="O1798" s="84">
        <f t="shared" si="34"/>
        <v>90</v>
      </c>
    </row>
    <row r="1799" spans="15:15" x14ac:dyDescent="0.25">
      <c r="O1799" s="84">
        <f t="shared" si="34"/>
        <v>90</v>
      </c>
    </row>
    <row r="1800" spans="15:15" x14ac:dyDescent="0.25">
      <c r="O1800" s="84">
        <f t="shared" si="34"/>
        <v>90</v>
      </c>
    </row>
    <row r="1801" spans="15:15" x14ac:dyDescent="0.25">
      <c r="O1801" s="84">
        <f t="shared" si="34"/>
        <v>90</v>
      </c>
    </row>
    <row r="1802" spans="15:15" x14ac:dyDescent="0.25">
      <c r="O1802" s="84">
        <f t="shared" si="34"/>
        <v>90</v>
      </c>
    </row>
    <row r="1803" spans="15:15" x14ac:dyDescent="0.25">
      <c r="O1803" s="84">
        <f t="shared" si="34"/>
        <v>90</v>
      </c>
    </row>
    <row r="1804" spans="15:15" x14ac:dyDescent="0.25">
      <c r="O1804" s="84">
        <f t="shared" si="34"/>
        <v>90</v>
      </c>
    </row>
    <row r="1805" spans="15:15" x14ac:dyDescent="0.25">
      <c r="O1805" s="84">
        <f t="shared" si="34"/>
        <v>90</v>
      </c>
    </row>
    <row r="1806" spans="15:15" x14ac:dyDescent="0.25">
      <c r="O1806" s="84">
        <f t="shared" si="34"/>
        <v>90</v>
      </c>
    </row>
    <row r="1807" spans="15:15" x14ac:dyDescent="0.25">
      <c r="O1807" s="84">
        <f t="shared" si="34"/>
        <v>90</v>
      </c>
    </row>
    <row r="1808" spans="15:15" x14ac:dyDescent="0.25">
      <c r="O1808" s="84">
        <f t="shared" si="34"/>
        <v>90</v>
      </c>
    </row>
    <row r="1809" spans="15:15" x14ac:dyDescent="0.25">
      <c r="O1809" s="84">
        <f t="shared" si="34"/>
        <v>90</v>
      </c>
    </row>
    <row r="1810" spans="15:15" x14ac:dyDescent="0.25">
      <c r="O1810" s="84">
        <f t="shared" si="34"/>
        <v>90</v>
      </c>
    </row>
    <row r="1811" spans="15:15" x14ac:dyDescent="0.25">
      <c r="O1811" s="84">
        <f t="shared" si="34"/>
        <v>90</v>
      </c>
    </row>
    <row r="1812" spans="15:15" x14ac:dyDescent="0.25">
      <c r="O1812" s="84">
        <f t="shared" si="34"/>
        <v>90</v>
      </c>
    </row>
    <row r="1813" spans="15:15" x14ac:dyDescent="0.25">
      <c r="O1813" s="84">
        <f t="shared" si="34"/>
        <v>90</v>
      </c>
    </row>
    <row r="1814" spans="15:15" x14ac:dyDescent="0.25">
      <c r="O1814" s="84">
        <f t="shared" si="34"/>
        <v>90</v>
      </c>
    </row>
    <row r="1815" spans="15:15" x14ac:dyDescent="0.25">
      <c r="O1815" s="84">
        <f t="shared" si="34"/>
        <v>90</v>
      </c>
    </row>
    <row r="1816" spans="15:15" x14ac:dyDescent="0.25">
      <c r="O1816" s="84">
        <f t="shared" si="34"/>
        <v>90</v>
      </c>
    </row>
    <row r="1817" spans="15:15" x14ac:dyDescent="0.25">
      <c r="O1817" s="84">
        <f t="shared" si="34"/>
        <v>90</v>
      </c>
    </row>
    <row r="1818" spans="15:15" x14ac:dyDescent="0.25">
      <c r="O1818" s="84">
        <f t="shared" si="34"/>
        <v>90</v>
      </c>
    </row>
    <row r="1819" spans="15:15" x14ac:dyDescent="0.25">
      <c r="O1819" s="84">
        <f t="shared" si="34"/>
        <v>90</v>
      </c>
    </row>
    <row r="1820" spans="15:15" x14ac:dyDescent="0.25">
      <c r="O1820" s="84">
        <f t="shared" si="34"/>
        <v>90</v>
      </c>
    </row>
    <row r="1821" spans="15:15" x14ac:dyDescent="0.25">
      <c r="O1821" s="84">
        <f t="shared" si="34"/>
        <v>90</v>
      </c>
    </row>
    <row r="1822" spans="15:15" x14ac:dyDescent="0.25">
      <c r="O1822" s="84">
        <f t="shared" si="34"/>
        <v>90</v>
      </c>
    </row>
    <row r="1823" spans="15:15" x14ac:dyDescent="0.25">
      <c r="O1823" s="84">
        <f t="shared" si="34"/>
        <v>90</v>
      </c>
    </row>
    <row r="1824" spans="15:15" x14ac:dyDescent="0.25">
      <c r="O1824" s="84">
        <f t="shared" si="34"/>
        <v>90</v>
      </c>
    </row>
    <row r="1825" spans="15:15" x14ac:dyDescent="0.25">
      <c r="O1825" s="84">
        <f t="shared" si="34"/>
        <v>90</v>
      </c>
    </row>
    <row r="1826" spans="15:15" x14ac:dyDescent="0.25">
      <c r="O1826" s="84">
        <f t="shared" si="34"/>
        <v>90</v>
      </c>
    </row>
    <row r="1827" spans="15:15" x14ac:dyDescent="0.25">
      <c r="O1827" s="84">
        <f t="shared" si="34"/>
        <v>90</v>
      </c>
    </row>
    <row r="1828" spans="15:15" x14ac:dyDescent="0.25">
      <c r="O1828" s="84">
        <f t="shared" si="34"/>
        <v>90</v>
      </c>
    </row>
    <row r="1829" spans="15:15" x14ac:dyDescent="0.25">
      <c r="O1829" s="84">
        <f t="shared" si="34"/>
        <v>90</v>
      </c>
    </row>
    <row r="1830" spans="15:15" x14ac:dyDescent="0.25">
      <c r="O1830" s="84">
        <f t="shared" si="34"/>
        <v>90</v>
      </c>
    </row>
    <row r="1831" spans="15:15" x14ac:dyDescent="0.25">
      <c r="O1831" s="84">
        <f t="shared" si="34"/>
        <v>90</v>
      </c>
    </row>
    <row r="1832" spans="15:15" x14ac:dyDescent="0.25">
      <c r="O1832" s="84">
        <f t="shared" si="34"/>
        <v>90</v>
      </c>
    </row>
    <row r="1833" spans="15:15" x14ac:dyDescent="0.25">
      <c r="O1833" s="84">
        <f t="shared" si="34"/>
        <v>90</v>
      </c>
    </row>
    <row r="1834" spans="15:15" x14ac:dyDescent="0.25">
      <c r="O1834" s="84">
        <f t="shared" si="34"/>
        <v>90</v>
      </c>
    </row>
    <row r="1835" spans="15:15" x14ac:dyDescent="0.25">
      <c r="O1835" s="84">
        <f t="shared" si="34"/>
        <v>90</v>
      </c>
    </row>
    <row r="1836" spans="15:15" x14ac:dyDescent="0.25">
      <c r="O1836" s="84">
        <f t="shared" si="34"/>
        <v>90</v>
      </c>
    </row>
    <row r="1837" spans="15:15" x14ac:dyDescent="0.25">
      <c r="O1837" s="84">
        <f t="shared" si="34"/>
        <v>90</v>
      </c>
    </row>
    <row r="1838" spans="15:15" x14ac:dyDescent="0.25">
      <c r="O1838" s="84">
        <f t="shared" si="34"/>
        <v>90</v>
      </c>
    </row>
    <row r="1839" spans="15:15" x14ac:dyDescent="0.25">
      <c r="O1839" s="84">
        <f t="shared" si="34"/>
        <v>90</v>
      </c>
    </row>
    <row r="1840" spans="15:15" x14ac:dyDescent="0.25">
      <c r="O1840" s="84">
        <f t="shared" si="34"/>
        <v>90</v>
      </c>
    </row>
    <row r="1841" spans="15:15" x14ac:dyDescent="0.25">
      <c r="O1841" s="84">
        <f t="shared" si="34"/>
        <v>90</v>
      </c>
    </row>
    <row r="1842" spans="15:15" x14ac:dyDescent="0.25">
      <c r="O1842" s="84">
        <f t="shared" si="34"/>
        <v>90</v>
      </c>
    </row>
    <row r="1843" spans="15:15" x14ac:dyDescent="0.25">
      <c r="O1843" s="84">
        <f t="shared" si="34"/>
        <v>90</v>
      </c>
    </row>
    <row r="1844" spans="15:15" x14ac:dyDescent="0.25">
      <c r="O1844" s="84">
        <f t="shared" si="34"/>
        <v>90</v>
      </c>
    </row>
    <row r="1845" spans="15:15" x14ac:dyDescent="0.25">
      <c r="O1845" s="84">
        <f t="shared" si="34"/>
        <v>90</v>
      </c>
    </row>
    <row r="1846" spans="15:15" x14ac:dyDescent="0.25">
      <c r="O1846" s="84">
        <f t="shared" si="34"/>
        <v>90</v>
      </c>
    </row>
    <row r="1847" spans="15:15" x14ac:dyDescent="0.25">
      <c r="O1847" s="84">
        <f t="shared" si="34"/>
        <v>90</v>
      </c>
    </row>
    <row r="1848" spans="15:15" x14ac:dyDescent="0.25">
      <c r="O1848" s="84">
        <f t="shared" si="34"/>
        <v>90</v>
      </c>
    </row>
    <row r="1849" spans="15:15" x14ac:dyDescent="0.25">
      <c r="O1849" s="84">
        <f t="shared" si="34"/>
        <v>90</v>
      </c>
    </row>
    <row r="1850" spans="15:15" x14ac:dyDescent="0.25">
      <c r="O1850" s="84">
        <f t="shared" si="34"/>
        <v>90</v>
      </c>
    </row>
    <row r="1851" spans="15:15" x14ac:dyDescent="0.25">
      <c r="O1851" s="84">
        <f t="shared" si="34"/>
        <v>90</v>
      </c>
    </row>
    <row r="1852" spans="15:15" x14ac:dyDescent="0.25">
      <c r="O1852" s="84">
        <f t="shared" si="34"/>
        <v>90</v>
      </c>
    </row>
    <row r="1853" spans="15:15" x14ac:dyDescent="0.25">
      <c r="O1853" s="84">
        <f t="shared" si="34"/>
        <v>90</v>
      </c>
    </row>
    <row r="1854" spans="15:15" x14ac:dyDescent="0.25">
      <c r="O1854" s="84">
        <f t="shared" si="34"/>
        <v>90</v>
      </c>
    </row>
    <row r="1855" spans="15:15" x14ac:dyDescent="0.25">
      <c r="O1855" s="84">
        <f t="shared" si="34"/>
        <v>90</v>
      </c>
    </row>
    <row r="1856" spans="15:15" x14ac:dyDescent="0.25">
      <c r="O1856" s="84">
        <f t="shared" si="34"/>
        <v>90</v>
      </c>
    </row>
    <row r="1857" spans="15:15" x14ac:dyDescent="0.25">
      <c r="O1857" s="84">
        <f t="shared" si="34"/>
        <v>90</v>
      </c>
    </row>
    <row r="1858" spans="15:15" x14ac:dyDescent="0.25">
      <c r="O1858" s="84">
        <f t="shared" si="34"/>
        <v>90</v>
      </c>
    </row>
    <row r="1859" spans="15:15" x14ac:dyDescent="0.25">
      <c r="O1859" s="84">
        <f t="shared" ref="O1859:O1922" si="35">90-P1859</f>
        <v>90</v>
      </c>
    </row>
    <row r="1860" spans="15:15" x14ac:dyDescent="0.25">
      <c r="O1860" s="84">
        <f t="shared" si="35"/>
        <v>90</v>
      </c>
    </row>
    <row r="1861" spans="15:15" x14ac:dyDescent="0.25">
      <c r="O1861" s="84">
        <f t="shared" si="35"/>
        <v>90</v>
      </c>
    </row>
    <row r="1862" spans="15:15" x14ac:dyDescent="0.25">
      <c r="O1862" s="84">
        <f t="shared" si="35"/>
        <v>90</v>
      </c>
    </row>
    <row r="1863" spans="15:15" x14ac:dyDescent="0.25">
      <c r="O1863" s="84">
        <f t="shared" si="35"/>
        <v>90</v>
      </c>
    </row>
    <row r="1864" spans="15:15" x14ac:dyDescent="0.25">
      <c r="O1864" s="84">
        <f t="shared" si="35"/>
        <v>90</v>
      </c>
    </row>
    <row r="1865" spans="15:15" x14ac:dyDescent="0.25">
      <c r="O1865" s="84">
        <f t="shared" si="35"/>
        <v>90</v>
      </c>
    </row>
    <row r="1866" spans="15:15" x14ac:dyDescent="0.25">
      <c r="O1866" s="84">
        <f t="shared" si="35"/>
        <v>90</v>
      </c>
    </row>
    <row r="1867" spans="15:15" x14ac:dyDescent="0.25">
      <c r="O1867" s="84">
        <f t="shared" si="35"/>
        <v>90</v>
      </c>
    </row>
    <row r="1868" spans="15:15" x14ac:dyDescent="0.25">
      <c r="O1868" s="84">
        <f t="shared" si="35"/>
        <v>90</v>
      </c>
    </row>
    <row r="1869" spans="15:15" x14ac:dyDescent="0.25">
      <c r="O1869" s="84">
        <f t="shared" si="35"/>
        <v>90</v>
      </c>
    </row>
    <row r="1870" spans="15:15" x14ac:dyDescent="0.25">
      <c r="O1870" s="84">
        <f t="shared" si="35"/>
        <v>90</v>
      </c>
    </row>
    <row r="1871" spans="15:15" x14ac:dyDescent="0.25">
      <c r="O1871" s="84">
        <f t="shared" si="35"/>
        <v>90</v>
      </c>
    </row>
    <row r="1872" spans="15:15" x14ac:dyDescent="0.25">
      <c r="O1872" s="84">
        <f t="shared" si="35"/>
        <v>90</v>
      </c>
    </row>
    <row r="1873" spans="15:15" x14ac:dyDescent="0.25">
      <c r="O1873" s="84">
        <f t="shared" si="35"/>
        <v>90</v>
      </c>
    </row>
    <row r="1874" spans="15:15" x14ac:dyDescent="0.25">
      <c r="O1874" s="84">
        <f t="shared" si="35"/>
        <v>90</v>
      </c>
    </row>
    <row r="1875" spans="15:15" x14ac:dyDescent="0.25">
      <c r="O1875" s="84">
        <f t="shared" si="35"/>
        <v>90</v>
      </c>
    </row>
    <row r="1876" spans="15:15" x14ac:dyDescent="0.25">
      <c r="O1876" s="84">
        <f t="shared" si="35"/>
        <v>90</v>
      </c>
    </row>
    <row r="1877" spans="15:15" x14ac:dyDescent="0.25">
      <c r="O1877" s="84">
        <f t="shared" si="35"/>
        <v>90</v>
      </c>
    </row>
    <row r="1878" spans="15:15" x14ac:dyDescent="0.25">
      <c r="O1878" s="84">
        <f t="shared" si="35"/>
        <v>90</v>
      </c>
    </row>
    <row r="1879" spans="15:15" x14ac:dyDescent="0.25">
      <c r="O1879" s="84">
        <f t="shared" si="35"/>
        <v>90</v>
      </c>
    </row>
    <row r="1880" spans="15:15" x14ac:dyDescent="0.25">
      <c r="O1880" s="84">
        <f t="shared" si="35"/>
        <v>90</v>
      </c>
    </row>
    <row r="1881" spans="15:15" x14ac:dyDescent="0.25">
      <c r="O1881" s="84">
        <f t="shared" si="35"/>
        <v>90</v>
      </c>
    </row>
    <row r="1882" spans="15:15" x14ac:dyDescent="0.25">
      <c r="O1882" s="84">
        <f t="shared" si="35"/>
        <v>90</v>
      </c>
    </row>
    <row r="1883" spans="15:15" x14ac:dyDescent="0.25">
      <c r="O1883" s="84">
        <f t="shared" si="35"/>
        <v>90</v>
      </c>
    </row>
    <row r="1884" spans="15:15" x14ac:dyDescent="0.25">
      <c r="O1884" s="84">
        <f t="shared" si="35"/>
        <v>90</v>
      </c>
    </row>
    <row r="1885" spans="15:15" x14ac:dyDescent="0.25">
      <c r="O1885" s="84">
        <f t="shared" si="35"/>
        <v>90</v>
      </c>
    </row>
    <row r="1886" spans="15:15" x14ac:dyDescent="0.25">
      <c r="O1886" s="84">
        <f t="shared" si="35"/>
        <v>90</v>
      </c>
    </row>
    <row r="1887" spans="15:15" x14ac:dyDescent="0.25">
      <c r="O1887" s="84">
        <f t="shared" si="35"/>
        <v>90</v>
      </c>
    </row>
    <row r="1888" spans="15:15" x14ac:dyDescent="0.25">
      <c r="O1888" s="84">
        <f t="shared" si="35"/>
        <v>90</v>
      </c>
    </row>
    <row r="1889" spans="15:15" x14ac:dyDescent="0.25">
      <c r="O1889" s="84">
        <f t="shared" si="35"/>
        <v>90</v>
      </c>
    </row>
    <row r="1890" spans="15:15" x14ac:dyDescent="0.25">
      <c r="O1890" s="84">
        <f t="shared" si="35"/>
        <v>90</v>
      </c>
    </row>
    <row r="1891" spans="15:15" x14ac:dyDescent="0.25">
      <c r="O1891" s="84">
        <f t="shared" si="35"/>
        <v>90</v>
      </c>
    </row>
    <row r="1892" spans="15:15" x14ac:dyDescent="0.25">
      <c r="O1892" s="84">
        <f t="shared" si="35"/>
        <v>90</v>
      </c>
    </row>
    <row r="1893" spans="15:15" x14ac:dyDescent="0.25">
      <c r="O1893" s="84">
        <f t="shared" si="35"/>
        <v>90</v>
      </c>
    </row>
    <row r="1894" spans="15:15" x14ac:dyDescent="0.25">
      <c r="O1894" s="84">
        <f t="shared" si="35"/>
        <v>90</v>
      </c>
    </row>
    <row r="1895" spans="15:15" x14ac:dyDescent="0.25">
      <c r="O1895" s="84">
        <f t="shared" si="35"/>
        <v>90</v>
      </c>
    </row>
    <row r="1896" spans="15:15" x14ac:dyDescent="0.25">
      <c r="O1896" s="84">
        <f t="shared" si="35"/>
        <v>90</v>
      </c>
    </row>
    <row r="1897" spans="15:15" x14ac:dyDescent="0.25">
      <c r="O1897" s="84">
        <f t="shared" si="35"/>
        <v>90</v>
      </c>
    </row>
    <row r="1898" spans="15:15" x14ac:dyDescent="0.25">
      <c r="O1898" s="84">
        <f t="shared" si="35"/>
        <v>90</v>
      </c>
    </row>
    <row r="1899" spans="15:15" x14ac:dyDescent="0.25">
      <c r="O1899" s="84">
        <f t="shared" si="35"/>
        <v>90</v>
      </c>
    </row>
    <row r="1900" spans="15:15" x14ac:dyDescent="0.25">
      <c r="O1900" s="84">
        <f t="shared" si="35"/>
        <v>90</v>
      </c>
    </row>
    <row r="1901" spans="15:15" x14ac:dyDescent="0.25">
      <c r="O1901" s="84">
        <f t="shared" si="35"/>
        <v>90</v>
      </c>
    </row>
    <row r="1902" spans="15:15" x14ac:dyDescent="0.25">
      <c r="O1902" s="84">
        <f t="shared" si="35"/>
        <v>90</v>
      </c>
    </row>
    <row r="1903" spans="15:15" x14ac:dyDescent="0.25">
      <c r="O1903" s="84">
        <f t="shared" si="35"/>
        <v>90</v>
      </c>
    </row>
    <row r="1904" spans="15:15" x14ac:dyDescent="0.25">
      <c r="O1904" s="84">
        <f t="shared" si="35"/>
        <v>90</v>
      </c>
    </row>
    <row r="1905" spans="15:15" x14ac:dyDescent="0.25">
      <c r="O1905" s="84">
        <f t="shared" si="35"/>
        <v>90</v>
      </c>
    </row>
    <row r="1906" spans="15:15" x14ac:dyDescent="0.25">
      <c r="O1906" s="84">
        <f t="shared" si="35"/>
        <v>90</v>
      </c>
    </row>
    <row r="1907" spans="15:15" x14ac:dyDescent="0.25">
      <c r="O1907" s="84">
        <f t="shared" si="35"/>
        <v>90</v>
      </c>
    </row>
    <row r="1908" spans="15:15" x14ac:dyDescent="0.25">
      <c r="O1908" s="84">
        <f t="shared" si="35"/>
        <v>90</v>
      </c>
    </row>
    <row r="1909" spans="15:15" x14ac:dyDescent="0.25">
      <c r="O1909" s="84">
        <f t="shared" si="35"/>
        <v>90</v>
      </c>
    </row>
    <row r="1910" spans="15:15" x14ac:dyDescent="0.25">
      <c r="O1910" s="84">
        <f t="shared" si="35"/>
        <v>90</v>
      </c>
    </row>
    <row r="1911" spans="15:15" x14ac:dyDescent="0.25">
      <c r="O1911" s="84">
        <f t="shared" si="35"/>
        <v>90</v>
      </c>
    </row>
    <row r="1912" spans="15:15" x14ac:dyDescent="0.25">
      <c r="O1912" s="84">
        <f t="shared" si="35"/>
        <v>90</v>
      </c>
    </row>
    <row r="1913" spans="15:15" x14ac:dyDescent="0.25">
      <c r="O1913" s="84">
        <f t="shared" si="35"/>
        <v>90</v>
      </c>
    </row>
    <row r="1914" spans="15:15" x14ac:dyDescent="0.25">
      <c r="O1914" s="84">
        <f t="shared" si="35"/>
        <v>90</v>
      </c>
    </row>
    <row r="1915" spans="15:15" x14ac:dyDescent="0.25">
      <c r="O1915" s="84">
        <f t="shared" si="35"/>
        <v>90</v>
      </c>
    </row>
    <row r="1916" spans="15:15" x14ac:dyDescent="0.25">
      <c r="O1916" s="84">
        <f t="shared" si="35"/>
        <v>90</v>
      </c>
    </row>
    <row r="1917" spans="15:15" x14ac:dyDescent="0.25">
      <c r="O1917" s="84">
        <f t="shared" si="35"/>
        <v>90</v>
      </c>
    </row>
    <row r="1918" spans="15:15" x14ac:dyDescent="0.25">
      <c r="O1918" s="84">
        <f t="shared" si="35"/>
        <v>90</v>
      </c>
    </row>
    <row r="1919" spans="15:15" x14ac:dyDescent="0.25">
      <c r="O1919" s="84">
        <f t="shared" si="35"/>
        <v>90</v>
      </c>
    </row>
    <row r="1920" spans="15:15" x14ac:dyDescent="0.25">
      <c r="O1920" s="84">
        <f t="shared" si="35"/>
        <v>90</v>
      </c>
    </row>
    <row r="1921" spans="15:15" x14ac:dyDescent="0.25">
      <c r="O1921" s="84">
        <f t="shared" si="35"/>
        <v>90</v>
      </c>
    </row>
    <row r="1922" spans="15:15" x14ac:dyDescent="0.25">
      <c r="O1922" s="84">
        <f t="shared" si="35"/>
        <v>90</v>
      </c>
    </row>
    <row r="1923" spans="15:15" x14ac:dyDescent="0.25">
      <c r="O1923" s="84">
        <f t="shared" ref="O1923:O1986" si="36">90-P1923</f>
        <v>90</v>
      </c>
    </row>
    <row r="1924" spans="15:15" x14ac:dyDescent="0.25">
      <c r="O1924" s="84">
        <f t="shared" si="36"/>
        <v>90</v>
      </c>
    </row>
    <row r="1925" spans="15:15" x14ac:dyDescent="0.25">
      <c r="O1925" s="84">
        <f t="shared" si="36"/>
        <v>90</v>
      </c>
    </row>
    <row r="1926" spans="15:15" x14ac:dyDescent="0.25">
      <c r="O1926" s="84">
        <f t="shared" si="36"/>
        <v>90</v>
      </c>
    </row>
    <row r="1927" spans="15:15" x14ac:dyDescent="0.25">
      <c r="O1927" s="84">
        <f t="shared" si="36"/>
        <v>90</v>
      </c>
    </row>
    <row r="1928" spans="15:15" x14ac:dyDescent="0.25">
      <c r="O1928" s="84">
        <f t="shared" si="36"/>
        <v>90</v>
      </c>
    </row>
    <row r="1929" spans="15:15" x14ac:dyDescent="0.25">
      <c r="O1929" s="84">
        <f t="shared" si="36"/>
        <v>90</v>
      </c>
    </row>
    <row r="1930" spans="15:15" x14ac:dyDescent="0.25">
      <c r="O1930" s="84">
        <f t="shared" si="36"/>
        <v>90</v>
      </c>
    </row>
    <row r="1931" spans="15:15" x14ac:dyDescent="0.25">
      <c r="O1931" s="84">
        <f t="shared" si="36"/>
        <v>90</v>
      </c>
    </row>
    <row r="1932" spans="15:15" x14ac:dyDescent="0.25">
      <c r="O1932" s="84">
        <f t="shared" si="36"/>
        <v>90</v>
      </c>
    </row>
    <row r="1933" spans="15:15" x14ac:dyDescent="0.25">
      <c r="O1933" s="84">
        <f t="shared" si="36"/>
        <v>90</v>
      </c>
    </row>
    <row r="1934" spans="15:15" x14ac:dyDescent="0.25">
      <c r="O1934" s="84">
        <f t="shared" si="36"/>
        <v>90</v>
      </c>
    </row>
    <row r="1935" spans="15:15" x14ac:dyDescent="0.25">
      <c r="O1935" s="84">
        <f t="shared" si="36"/>
        <v>90</v>
      </c>
    </row>
    <row r="1936" spans="15:15" x14ac:dyDescent="0.25">
      <c r="O1936" s="84">
        <f t="shared" si="36"/>
        <v>90</v>
      </c>
    </row>
    <row r="1937" spans="15:15" x14ac:dyDescent="0.25">
      <c r="O1937" s="84">
        <f t="shared" si="36"/>
        <v>90</v>
      </c>
    </row>
    <row r="1938" spans="15:15" x14ac:dyDescent="0.25">
      <c r="O1938" s="84">
        <f t="shared" si="36"/>
        <v>90</v>
      </c>
    </row>
    <row r="1939" spans="15:15" x14ac:dyDescent="0.25">
      <c r="O1939" s="84">
        <f t="shared" si="36"/>
        <v>90</v>
      </c>
    </row>
    <row r="1940" spans="15:15" x14ac:dyDescent="0.25">
      <c r="O1940" s="84">
        <f t="shared" si="36"/>
        <v>90</v>
      </c>
    </row>
    <row r="1941" spans="15:15" x14ac:dyDescent="0.25">
      <c r="O1941" s="84">
        <f t="shared" si="36"/>
        <v>90</v>
      </c>
    </row>
    <row r="1942" spans="15:15" x14ac:dyDescent="0.25">
      <c r="O1942" s="84">
        <f t="shared" si="36"/>
        <v>90</v>
      </c>
    </row>
    <row r="1943" spans="15:15" x14ac:dyDescent="0.25">
      <c r="O1943" s="84">
        <f t="shared" si="36"/>
        <v>90</v>
      </c>
    </row>
    <row r="1944" spans="15:15" x14ac:dyDescent="0.25">
      <c r="O1944" s="84">
        <f t="shared" si="36"/>
        <v>90</v>
      </c>
    </row>
    <row r="1945" spans="15:15" x14ac:dyDescent="0.25">
      <c r="O1945" s="84">
        <f t="shared" si="36"/>
        <v>90</v>
      </c>
    </row>
    <row r="1946" spans="15:15" x14ac:dyDescent="0.25">
      <c r="O1946" s="84">
        <f t="shared" si="36"/>
        <v>90</v>
      </c>
    </row>
    <row r="1947" spans="15:15" x14ac:dyDescent="0.25">
      <c r="O1947" s="84">
        <f t="shared" si="36"/>
        <v>90</v>
      </c>
    </row>
    <row r="1948" spans="15:15" x14ac:dyDescent="0.25">
      <c r="O1948" s="84">
        <f t="shared" si="36"/>
        <v>90</v>
      </c>
    </row>
    <row r="1949" spans="15:15" x14ac:dyDescent="0.25">
      <c r="O1949" s="84">
        <f t="shared" si="36"/>
        <v>90</v>
      </c>
    </row>
    <row r="1950" spans="15:15" x14ac:dyDescent="0.25">
      <c r="O1950" s="84">
        <f t="shared" si="36"/>
        <v>90</v>
      </c>
    </row>
    <row r="1951" spans="15:15" x14ac:dyDescent="0.25">
      <c r="O1951" s="84">
        <f t="shared" si="36"/>
        <v>90</v>
      </c>
    </row>
    <row r="1952" spans="15:15" x14ac:dyDescent="0.25">
      <c r="O1952" s="84">
        <f t="shared" si="36"/>
        <v>90</v>
      </c>
    </row>
    <row r="1953" spans="15:15" x14ac:dyDescent="0.25">
      <c r="O1953" s="84">
        <f t="shared" si="36"/>
        <v>90</v>
      </c>
    </row>
    <row r="1954" spans="15:15" x14ac:dyDescent="0.25">
      <c r="O1954" s="84">
        <f t="shared" si="36"/>
        <v>90</v>
      </c>
    </row>
    <row r="1955" spans="15:15" x14ac:dyDescent="0.25">
      <c r="O1955" s="84">
        <f t="shared" si="36"/>
        <v>90</v>
      </c>
    </row>
    <row r="1956" spans="15:15" x14ac:dyDescent="0.25">
      <c r="O1956" s="84">
        <f t="shared" si="36"/>
        <v>90</v>
      </c>
    </row>
    <row r="1957" spans="15:15" x14ac:dyDescent="0.25">
      <c r="O1957" s="84">
        <f t="shared" si="36"/>
        <v>90</v>
      </c>
    </row>
    <row r="1958" spans="15:15" x14ac:dyDescent="0.25">
      <c r="O1958" s="84">
        <f t="shared" si="36"/>
        <v>90</v>
      </c>
    </row>
    <row r="1959" spans="15:15" x14ac:dyDescent="0.25">
      <c r="O1959" s="84">
        <f t="shared" si="36"/>
        <v>90</v>
      </c>
    </row>
    <row r="1960" spans="15:15" x14ac:dyDescent="0.25">
      <c r="O1960" s="84">
        <f t="shared" si="36"/>
        <v>90</v>
      </c>
    </row>
    <row r="1961" spans="15:15" x14ac:dyDescent="0.25">
      <c r="O1961" s="84">
        <f t="shared" si="36"/>
        <v>90</v>
      </c>
    </row>
    <row r="1962" spans="15:15" x14ac:dyDescent="0.25">
      <c r="O1962" s="84">
        <f t="shared" si="36"/>
        <v>90</v>
      </c>
    </row>
    <row r="1963" spans="15:15" x14ac:dyDescent="0.25">
      <c r="O1963" s="84">
        <f t="shared" si="36"/>
        <v>90</v>
      </c>
    </row>
    <row r="1964" spans="15:15" x14ac:dyDescent="0.25">
      <c r="O1964" s="84">
        <f t="shared" si="36"/>
        <v>90</v>
      </c>
    </row>
    <row r="1965" spans="15:15" x14ac:dyDescent="0.25">
      <c r="O1965" s="84">
        <f t="shared" si="36"/>
        <v>90</v>
      </c>
    </row>
    <row r="1966" spans="15:15" x14ac:dyDescent="0.25">
      <c r="O1966" s="84">
        <f t="shared" si="36"/>
        <v>90</v>
      </c>
    </row>
    <row r="1967" spans="15:15" x14ac:dyDescent="0.25">
      <c r="O1967" s="84">
        <f t="shared" si="36"/>
        <v>90</v>
      </c>
    </row>
    <row r="1968" spans="15:15" x14ac:dyDescent="0.25">
      <c r="O1968" s="84">
        <f t="shared" si="36"/>
        <v>90</v>
      </c>
    </row>
    <row r="1969" spans="15:15" x14ac:dyDescent="0.25">
      <c r="O1969" s="84">
        <f t="shared" si="36"/>
        <v>90</v>
      </c>
    </row>
    <row r="1970" spans="15:15" x14ac:dyDescent="0.25">
      <c r="O1970" s="84">
        <f t="shared" si="36"/>
        <v>90</v>
      </c>
    </row>
    <row r="1971" spans="15:15" x14ac:dyDescent="0.25">
      <c r="O1971" s="84">
        <f t="shared" si="36"/>
        <v>90</v>
      </c>
    </row>
    <row r="1972" spans="15:15" x14ac:dyDescent="0.25">
      <c r="O1972" s="84">
        <f t="shared" si="36"/>
        <v>90</v>
      </c>
    </row>
    <row r="1973" spans="15:15" x14ac:dyDescent="0.25">
      <c r="O1973" s="84">
        <f t="shared" si="36"/>
        <v>90</v>
      </c>
    </row>
    <row r="1974" spans="15:15" x14ac:dyDescent="0.25">
      <c r="O1974" s="84">
        <f t="shared" si="36"/>
        <v>90</v>
      </c>
    </row>
    <row r="1975" spans="15:15" x14ac:dyDescent="0.25">
      <c r="O1975" s="84">
        <f t="shared" si="36"/>
        <v>90</v>
      </c>
    </row>
    <row r="1976" spans="15:15" x14ac:dyDescent="0.25">
      <c r="O1976" s="84">
        <f t="shared" si="36"/>
        <v>90</v>
      </c>
    </row>
    <row r="1977" spans="15:15" x14ac:dyDescent="0.25">
      <c r="O1977" s="84">
        <f t="shared" si="36"/>
        <v>90</v>
      </c>
    </row>
    <row r="1978" spans="15:15" x14ac:dyDescent="0.25">
      <c r="O1978" s="84">
        <f t="shared" si="36"/>
        <v>90</v>
      </c>
    </row>
    <row r="1979" spans="15:15" x14ac:dyDescent="0.25">
      <c r="O1979" s="84">
        <f t="shared" si="36"/>
        <v>90</v>
      </c>
    </row>
    <row r="1980" spans="15:15" x14ac:dyDescent="0.25">
      <c r="O1980" s="84">
        <f t="shared" si="36"/>
        <v>90</v>
      </c>
    </row>
    <row r="1981" spans="15:15" x14ac:dyDescent="0.25">
      <c r="O1981" s="84">
        <f t="shared" si="36"/>
        <v>90</v>
      </c>
    </row>
    <row r="1982" spans="15:15" x14ac:dyDescent="0.25">
      <c r="O1982" s="84">
        <f t="shared" si="36"/>
        <v>90</v>
      </c>
    </row>
    <row r="1983" spans="15:15" x14ac:dyDescent="0.25">
      <c r="O1983" s="84">
        <f t="shared" si="36"/>
        <v>90</v>
      </c>
    </row>
    <row r="1984" spans="15:15" x14ac:dyDescent="0.25">
      <c r="O1984" s="84">
        <f t="shared" si="36"/>
        <v>90</v>
      </c>
    </row>
    <row r="1985" spans="15:15" x14ac:dyDescent="0.25">
      <c r="O1985" s="84">
        <f t="shared" si="36"/>
        <v>90</v>
      </c>
    </row>
    <row r="1986" spans="15:15" x14ac:dyDescent="0.25">
      <c r="O1986" s="84">
        <f t="shared" si="36"/>
        <v>90</v>
      </c>
    </row>
    <row r="1987" spans="15:15" x14ac:dyDescent="0.25">
      <c r="O1987" s="84">
        <f t="shared" ref="O1987:O2050" si="37">90-P1987</f>
        <v>90</v>
      </c>
    </row>
    <row r="1988" spans="15:15" x14ac:dyDescent="0.25">
      <c r="O1988" s="84">
        <f t="shared" si="37"/>
        <v>90</v>
      </c>
    </row>
    <row r="1989" spans="15:15" x14ac:dyDescent="0.25">
      <c r="O1989" s="84">
        <f t="shared" si="37"/>
        <v>90</v>
      </c>
    </row>
    <row r="1990" spans="15:15" x14ac:dyDescent="0.25">
      <c r="O1990" s="84">
        <f t="shared" si="37"/>
        <v>90</v>
      </c>
    </row>
    <row r="1991" spans="15:15" x14ac:dyDescent="0.25">
      <c r="O1991" s="84">
        <f t="shared" si="37"/>
        <v>90</v>
      </c>
    </row>
    <row r="1992" spans="15:15" x14ac:dyDescent="0.25">
      <c r="O1992" s="84">
        <f t="shared" si="37"/>
        <v>90</v>
      </c>
    </row>
    <row r="1993" spans="15:15" x14ac:dyDescent="0.25">
      <c r="O1993" s="84">
        <f t="shared" si="37"/>
        <v>90</v>
      </c>
    </row>
    <row r="1994" spans="15:15" x14ac:dyDescent="0.25">
      <c r="O1994" s="84">
        <f t="shared" si="37"/>
        <v>90</v>
      </c>
    </row>
    <row r="1995" spans="15:15" x14ac:dyDescent="0.25">
      <c r="O1995" s="84">
        <f t="shared" si="37"/>
        <v>90</v>
      </c>
    </row>
    <row r="1996" spans="15:15" x14ac:dyDescent="0.25">
      <c r="O1996" s="84">
        <f t="shared" si="37"/>
        <v>90</v>
      </c>
    </row>
    <row r="1997" spans="15:15" x14ac:dyDescent="0.25">
      <c r="O1997" s="84">
        <f t="shared" si="37"/>
        <v>90</v>
      </c>
    </row>
    <row r="1998" spans="15:15" x14ac:dyDescent="0.25">
      <c r="O1998" s="84">
        <f t="shared" si="37"/>
        <v>90</v>
      </c>
    </row>
    <row r="1999" spans="15:15" x14ac:dyDescent="0.25">
      <c r="O1999" s="84">
        <f t="shared" si="37"/>
        <v>90</v>
      </c>
    </row>
    <row r="2000" spans="15:15" x14ac:dyDescent="0.25">
      <c r="O2000" s="84">
        <f t="shared" si="37"/>
        <v>90</v>
      </c>
    </row>
    <row r="2001" spans="15:15" x14ac:dyDescent="0.25">
      <c r="O2001" s="84">
        <f t="shared" si="37"/>
        <v>90</v>
      </c>
    </row>
    <row r="2002" spans="15:15" x14ac:dyDescent="0.25">
      <c r="O2002" s="84">
        <f t="shared" si="37"/>
        <v>90</v>
      </c>
    </row>
    <row r="2003" spans="15:15" x14ac:dyDescent="0.25">
      <c r="O2003" s="84">
        <f t="shared" si="37"/>
        <v>90</v>
      </c>
    </row>
    <row r="2004" spans="15:15" x14ac:dyDescent="0.25">
      <c r="O2004" s="84">
        <f t="shared" si="37"/>
        <v>90</v>
      </c>
    </row>
    <row r="2005" spans="15:15" x14ac:dyDescent="0.25">
      <c r="O2005" s="84">
        <f t="shared" si="37"/>
        <v>90</v>
      </c>
    </row>
    <row r="2006" spans="15:15" x14ac:dyDescent="0.25">
      <c r="O2006" s="84">
        <f t="shared" si="37"/>
        <v>90</v>
      </c>
    </row>
    <row r="2007" spans="15:15" x14ac:dyDescent="0.25">
      <c r="O2007" s="84">
        <f t="shared" si="37"/>
        <v>90</v>
      </c>
    </row>
    <row r="2008" spans="15:15" x14ac:dyDescent="0.25">
      <c r="O2008" s="84">
        <f t="shared" si="37"/>
        <v>90</v>
      </c>
    </row>
    <row r="2009" spans="15:15" x14ac:dyDescent="0.25">
      <c r="O2009" s="84">
        <f t="shared" si="37"/>
        <v>90</v>
      </c>
    </row>
    <row r="2010" spans="15:15" x14ac:dyDescent="0.25">
      <c r="O2010" s="84">
        <f t="shared" si="37"/>
        <v>90</v>
      </c>
    </row>
    <row r="2011" spans="15:15" x14ac:dyDescent="0.25">
      <c r="O2011" s="84">
        <f t="shared" si="37"/>
        <v>90</v>
      </c>
    </row>
    <row r="2012" spans="15:15" x14ac:dyDescent="0.25">
      <c r="O2012" s="84">
        <f t="shared" si="37"/>
        <v>90</v>
      </c>
    </row>
    <row r="2013" spans="15:15" x14ac:dyDescent="0.25">
      <c r="O2013" s="84">
        <f t="shared" si="37"/>
        <v>90</v>
      </c>
    </row>
    <row r="2014" spans="15:15" x14ac:dyDescent="0.25">
      <c r="O2014" s="84">
        <f t="shared" si="37"/>
        <v>90</v>
      </c>
    </row>
    <row r="2015" spans="15:15" x14ac:dyDescent="0.25">
      <c r="O2015" s="84">
        <f t="shared" si="37"/>
        <v>90</v>
      </c>
    </row>
    <row r="2016" spans="15:15" x14ac:dyDescent="0.25">
      <c r="O2016" s="84">
        <f t="shared" si="37"/>
        <v>90</v>
      </c>
    </row>
    <row r="2017" spans="15:15" x14ac:dyDescent="0.25">
      <c r="O2017" s="84">
        <f t="shared" si="37"/>
        <v>90</v>
      </c>
    </row>
    <row r="2018" spans="15:15" x14ac:dyDescent="0.25">
      <c r="O2018" s="84">
        <f t="shared" si="37"/>
        <v>90</v>
      </c>
    </row>
    <row r="2019" spans="15:15" x14ac:dyDescent="0.25">
      <c r="O2019" s="84">
        <f t="shared" si="37"/>
        <v>90</v>
      </c>
    </row>
    <row r="2020" spans="15:15" x14ac:dyDescent="0.25">
      <c r="O2020" s="84">
        <f t="shared" si="37"/>
        <v>90</v>
      </c>
    </row>
    <row r="2021" spans="15:15" x14ac:dyDescent="0.25">
      <c r="O2021" s="84">
        <f t="shared" si="37"/>
        <v>90</v>
      </c>
    </row>
    <row r="2022" spans="15:15" x14ac:dyDescent="0.25">
      <c r="O2022" s="84">
        <f t="shared" si="37"/>
        <v>90</v>
      </c>
    </row>
    <row r="2023" spans="15:15" x14ac:dyDescent="0.25">
      <c r="O2023" s="84">
        <f t="shared" si="37"/>
        <v>90</v>
      </c>
    </row>
    <row r="2024" spans="15:15" x14ac:dyDescent="0.25">
      <c r="O2024" s="84">
        <f t="shared" si="37"/>
        <v>90</v>
      </c>
    </row>
    <row r="2025" spans="15:15" x14ac:dyDescent="0.25">
      <c r="O2025" s="84">
        <f t="shared" si="37"/>
        <v>90</v>
      </c>
    </row>
    <row r="2026" spans="15:15" x14ac:dyDescent="0.25">
      <c r="O2026" s="84">
        <f t="shared" si="37"/>
        <v>90</v>
      </c>
    </row>
    <row r="2027" spans="15:15" x14ac:dyDescent="0.25">
      <c r="O2027" s="84">
        <f t="shared" si="37"/>
        <v>90</v>
      </c>
    </row>
    <row r="2028" spans="15:15" x14ac:dyDescent="0.25">
      <c r="O2028" s="84">
        <f t="shared" si="37"/>
        <v>90</v>
      </c>
    </row>
    <row r="2029" spans="15:15" x14ac:dyDescent="0.25">
      <c r="O2029" s="84">
        <f t="shared" si="37"/>
        <v>90</v>
      </c>
    </row>
    <row r="2030" spans="15:15" x14ac:dyDescent="0.25">
      <c r="O2030" s="84">
        <f t="shared" si="37"/>
        <v>90</v>
      </c>
    </row>
    <row r="2031" spans="15:15" x14ac:dyDescent="0.25">
      <c r="O2031" s="84">
        <f t="shared" si="37"/>
        <v>90</v>
      </c>
    </row>
    <row r="2032" spans="15:15" x14ac:dyDescent="0.25">
      <c r="O2032" s="84">
        <f t="shared" si="37"/>
        <v>90</v>
      </c>
    </row>
    <row r="2033" spans="15:15" x14ac:dyDescent="0.25">
      <c r="O2033" s="84">
        <f t="shared" si="37"/>
        <v>90</v>
      </c>
    </row>
    <row r="2034" spans="15:15" x14ac:dyDescent="0.25">
      <c r="O2034" s="84">
        <f t="shared" si="37"/>
        <v>90</v>
      </c>
    </row>
    <row r="2035" spans="15:15" x14ac:dyDescent="0.25">
      <c r="O2035" s="84">
        <f t="shared" si="37"/>
        <v>90</v>
      </c>
    </row>
    <row r="2036" spans="15:15" x14ac:dyDescent="0.25">
      <c r="O2036" s="84">
        <f t="shared" si="37"/>
        <v>90</v>
      </c>
    </row>
    <row r="2037" spans="15:15" x14ac:dyDescent="0.25">
      <c r="O2037" s="84">
        <f t="shared" si="37"/>
        <v>90</v>
      </c>
    </row>
    <row r="2038" spans="15:15" x14ac:dyDescent="0.25">
      <c r="O2038" s="84">
        <f t="shared" si="37"/>
        <v>90</v>
      </c>
    </row>
    <row r="2039" spans="15:15" x14ac:dyDescent="0.25">
      <c r="O2039" s="84">
        <f t="shared" si="37"/>
        <v>90</v>
      </c>
    </row>
    <row r="2040" spans="15:15" x14ac:dyDescent="0.25">
      <c r="O2040" s="84">
        <f t="shared" si="37"/>
        <v>90</v>
      </c>
    </row>
    <row r="2041" spans="15:15" x14ac:dyDescent="0.25">
      <c r="O2041" s="84">
        <f t="shared" si="37"/>
        <v>90</v>
      </c>
    </row>
    <row r="2042" spans="15:15" x14ac:dyDescent="0.25">
      <c r="O2042" s="84">
        <f t="shared" si="37"/>
        <v>90</v>
      </c>
    </row>
    <row r="2043" spans="15:15" x14ac:dyDescent="0.25">
      <c r="O2043" s="84">
        <f t="shared" si="37"/>
        <v>90</v>
      </c>
    </row>
    <row r="2044" spans="15:15" x14ac:dyDescent="0.25">
      <c r="O2044" s="84">
        <f t="shared" si="37"/>
        <v>90</v>
      </c>
    </row>
    <row r="2045" spans="15:15" x14ac:dyDescent="0.25">
      <c r="O2045" s="84">
        <f t="shared" si="37"/>
        <v>90</v>
      </c>
    </row>
    <row r="2046" spans="15:15" x14ac:dyDescent="0.25">
      <c r="O2046" s="84">
        <f t="shared" si="37"/>
        <v>90</v>
      </c>
    </row>
    <row r="2047" spans="15:15" x14ac:dyDescent="0.25">
      <c r="O2047" s="84">
        <f t="shared" si="37"/>
        <v>90</v>
      </c>
    </row>
    <row r="2048" spans="15:15" x14ac:dyDescent="0.25">
      <c r="O2048" s="84">
        <f t="shared" si="37"/>
        <v>90</v>
      </c>
    </row>
    <row r="2049" spans="15:15" x14ac:dyDescent="0.25">
      <c r="O2049" s="84">
        <f t="shared" si="37"/>
        <v>90</v>
      </c>
    </row>
    <row r="2050" spans="15:15" x14ac:dyDescent="0.25">
      <c r="O2050" s="84">
        <f t="shared" si="37"/>
        <v>90</v>
      </c>
    </row>
    <row r="2051" spans="15:15" x14ac:dyDescent="0.25">
      <c r="O2051" s="84">
        <f t="shared" ref="O2051:O2114" si="38">90-P2051</f>
        <v>90</v>
      </c>
    </row>
    <row r="2052" spans="15:15" x14ac:dyDescent="0.25">
      <c r="O2052" s="84">
        <f t="shared" si="38"/>
        <v>90</v>
      </c>
    </row>
    <row r="2053" spans="15:15" x14ac:dyDescent="0.25">
      <c r="O2053" s="84">
        <f t="shared" si="38"/>
        <v>90</v>
      </c>
    </row>
    <row r="2054" spans="15:15" x14ac:dyDescent="0.25">
      <c r="O2054" s="84">
        <f t="shared" si="38"/>
        <v>90</v>
      </c>
    </row>
    <row r="2055" spans="15:15" x14ac:dyDescent="0.25">
      <c r="O2055" s="84">
        <f t="shared" si="38"/>
        <v>90</v>
      </c>
    </row>
    <row r="2056" spans="15:15" x14ac:dyDescent="0.25">
      <c r="O2056" s="84">
        <f t="shared" si="38"/>
        <v>90</v>
      </c>
    </row>
    <row r="2057" spans="15:15" x14ac:dyDescent="0.25">
      <c r="O2057" s="84">
        <f t="shared" si="38"/>
        <v>90</v>
      </c>
    </row>
    <row r="2058" spans="15:15" x14ac:dyDescent="0.25">
      <c r="O2058" s="84">
        <f t="shared" si="38"/>
        <v>90</v>
      </c>
    </row>
    <row r="2059" spans="15:15" x14ac:dyDescent="0.25">
      <c r="O2059" s="84">
        <f t="shared" si="38"/>
        <v>90</v>
      </c>
    </row>
    <row r="2060" spans="15:15" x14ac:dyDescent="0.25">
      <c r="O2060" s="84">
        <f t="shared" si="38"/>
        <v>90</v>
      </c>
    </row>
    <row r="2061" spans="15:15" x14ac:dyDescent="0.25">
      <c r="O2061" s="84">
        <f t="shared" si="38"/>
        <v>90</v>
      </c>
    </row>
    <row r="2062" spans="15:15" x14ac:dyDescent="0.25">
      <c r="O2062" s="84">
        <f t="shared" si="38"/>
        <v>90</v>
      </c>
    </row>
    <row r="2063" spans="15:15" x14ac:dyDescent="0.25">
      <c r="O2063" s="84">
        <f t="shared" si="38"/>
        <v>90</v>
      </c>
    </row>
    <row r="2064" spans="15:15" x14ac:dyDescent="0.25">
      <c r="O2064" s="84">
        <f t="shared" si="38"/>
        <v>90</v>
      </c>
    </row>
    <row r="2065" spans="15:15" x14ac:dyDescent="0.25">
      <c r="O2065" s="84">
        <f t="shared" si="38"/>
        <v>90</v>
      </c>
    </row>
    <row r="2066" spans="15:15" x14ac:dyDescent="0.25">
      <c r="O2066" s="84">
        <f t="shared" si="38"/>
        <v>90</v>
      </c>
    </row>
    <row r="2067" spans="15:15" x14ac:dyDescent="0.25">
      <c r="O2067" s="84">
        <f t="shared" si="38"/>
        <v>90</v>
      </c>
    </row>
    <row r="2068" spans="15:15" x14ac:dyDescent="0.25">
      <c r="O2068" s="84">
        <f t="shared" si="38"/>
        <v>90</v>
      </c>
    </row>
    <row r="2069" spans="15:15" x14ac:dyDescent="0.25">
      <c r="O2069" s="84">
        <f t="shared" si="38"/>
        <v>90</v>
      </c>
    </row>
    <row r="2070" spans="15:15" x14ac:dyDescent="0.25">
      <c r="O2070" s="84">
        <f t="shared" si="38"/>
        <v>90</v>
      </c>
    </row>
    <row r="2071" spans="15:15" x14ac:dyDescent="0.25">
      <c r="O2071" s="84">
        <f t="shared" si="38"/>
        <v>90</v>
      </c>
    </row>
    <row r="2072" spans="15:15" x14ac:dyDescent="0.25">
      <c r="O2072" s="84">
        <f t="shared" si="38"/>
        <v>90</v>
      </c>
    </row>
    <row r="2073" spans="15:15" x14ac:dyDescent="0.25">
      <c r="O2073" s="84">
        <f t="shared" si="38"/>
        <v>90</v>
      </c>
    </row>
    <row r="2074" spans="15:15" x14ac:dyDescent="0.25">
      <c r="O2074" s="84">
        <f t="shared" si="38"/>
        <v>90</v>
      </c>
    </row>
    <row r="2075" spans="15:15" x14ac:dyDescent="0.25">
      <c r="O2075" s="84">
        <f t="shared" si="38"/>
        <v>90</v>
      </c>
    </row>
    <row r="2076" spans="15:15" x14ac:dyDescent="0.25">
      <c r="O2076" s="84">
        <f t="shared" si="38"/>
        <v>90</v>
      </c>
    </row>
    <row r="2077" spans="15:15" x14ac:dyDescent="0.25">
      <c r="O2077" s="84">
        <f t="shared" si="38"/>
        <v>90</v>
      </c>
    </row>
    <row r="2078" spans="15:15" x14ac:dyDescent="0.25">
      <c r="O2078" s="84">
        <f t="shared" si="38"/>
        <v>90</v>
      </c>
    </row>
    <row r="2079" spans="15:15" x14ac:dyDescent="0.25">
      <c r="O2079" s="84">
        <f t="shared" si="38"/>
        <v>90</v>
      </c>
    </row>
    <row r="2080" spans="15:15" x14ac:dyDescent="0.25">
      <c r="O2080" s="84">
        <f t="shared" si="38"/>
        <v>90</v>
      </c>
    </row>
    <row r="2081" spans="15:15" x14ac:dyDescent="0.25">
      <c r="O2081" s="84">
        <f t="shared" si="38"/>
        <v>90</v>
      </c>
    </row>
    <row r="2082" spans="15:15" x14ac:dyDescent="0.25">
      <c r="O2082" s="84">
        <f t="shared" si="38"/>
        <v>90</v>
      </c>
    </row>
    <row r="2083" spans="15:15" x14ac:dyDescent="0.25">
      <c r="O2083" s="84">
        <f t="shared" si="38"/>
        <v>90</v>
      </c>
    </row>
    <row r="2084" spans="15:15" x14ac:dyDescent="0.25">
      <c r="O2084" s="84">
        <f t="shared" si="38"/>
        <v>90</v>
      </c>
    </row>
    <row r="2085" spans="15:15" x14ac:dyDescent="0.25">
      <c r="O2085" s="84">
        <f t="shared" si="38"/>
        <v>90</v>
      </c>
    </row>
    <row r="2086" spans="15:15" x14ac:dyDescent="0.25">
      <c r="O2086" s="84">
        <f t="shared" si="38"/>
        <v>90</v>
      </c>
    </row>
    <row r="2087" spans="15:15" x14ac:dyDescent="0.25">
      <c r="O2087" s="84">
        <f t="shared" si="38"/>
        <v>90</v>
      </c>
    </row>
    <row r="2088" spans="15:15" x14ac:dyDescent="0.25">
      <c r="O2088" s="84">
        <f t="shared" si="38"/>
        <v>90</v>
      </c>
    </row>
    <row r="2089" spans="15:15" x14ac:dyDescent="0.25">
      <c r="O2089" s="84">
        <f t="shared" si="38"/>
        <v>90</v>
      </c>
    </row>
    <row r="2090" spans="15:15" x14ac:dyDescent="0.25">
      <c r="O2090" s="84">
        <f t="shared" si="38"/>
        <v>90</v>
      </c>
    </row>
    <row r="2091" spans="15:15" x14ac:dyDescent="0.25">
      <c r="O2091" s="84">
        <f t="shared" si="38"/>
        <v>90</v>
      </c>
    </row>
    <row r="2092" spans="15:15" x14ac:dyDescent="0.25">
      <c r="O2092" s="84">
        <f t="shared" si="38"/>
        <v>90</v>
      </c>
    </row>
    <row r="2093" spans="15:15" x14ac:dyDescent="0.25">
      <c r="O2093" s="84">
        <f t="shared" si="38"/>
        <v>90</v>
      </c>
    </row>
    <row r="2094" spans="15:15" x14ac:dyDescent="0.25">
      <c r="O2094" s="84">
        <f t="shared" si="38"/>
        <v>90</v>
      </c>
    </row>
    <row r="2095" spans="15:15" x14ac:dyDescent="0.25">
      <c r="O2095" s="84">
        <f t="shared" si="38"/>
        <v>90</v>
      </c>
    </row>
    <row r="2096" spans="15:15" x14ac:dyDescent="0.25">
      <c r="O2096" s="84">
        <f t="shared" si="38"/>
        <v>90</v>
      </c>
    </row>
    <row r="2097" spans="15:15" x14ac:dyDescent="0.25">
      <c r="O2097" s="84">
        <f t="shared" si="38"/>
        <v>90</v>
      </c>
    </row>
    <row r="2098" spans="15:15" x14ac:dyDescent="0.25">
      <c r="O2098" s="84">
        <f t="shared" si="38"/>
        <v>90</v>
      </c>
    </row>
    <row r="2099" spans="15:15" x14ac:dyDescent="0.25">
      <c r="O2099" s="84">
        <f t="shared" si="38"/>
        <v>90</v>
      </c>
    </row>
    <row r="2100" spans="15:15" x14ac:dyDescent="0.25">
      <c r="O2100" s="84">
        <f t="shared" si="38"/>
        <v>90</v>
      </c>
    </row>
    <row r="2101" spans="15:15" x14ac:dyDescent="0.25">
      <c r="O2101" s="84">
        <f t="shared" si="38"/>
        <v>90</v>
      </c>
    </row>
    <row r="2102" spans="15:15" x14ac:dyDescent="0.25">
      <c r="O2102" s="84">
        <f t="shared" si="38"/>
        <v>90</v>
      </c>
    </row>
    <row r="2103" spans="15:15" x14ac:dyDescent="0.25">
      <c r="O2103" s="84">
        <f t="shared" si="38"/>
        <v>90</v>
      </c>
    </row>
    <row r="2104" spans="15:15" x14ac:dyDescent="0.25">
      <c r="O2104" s="84">
        <f t="shared" si="38"/>
        <v>90</v>
      </c>
    </row>
    <row r="2105" spans="15:15" x14ac:dyDescent="0.25">
      <c r="O2105" s="84">
        <f t="shared" si="38"/>
        <v>90</v>
      </c>
    </row>
    <row r="2106" spans="15:15" x14ac:dyDescent="0.25">
      <c r="O2106" s="84">
        <f t="shared" si="38"/>
        <v>90</v>
      </c>
    </row>
    <row r="2107" spans="15:15" x14ac:dyDescent="0.25">
      <c r="O2107" s="84">
        <f t="shared" si="38"/>
        <v>90</v>
      </c>
    </row>
    <row r="2108" spans="15:15" x14ac:dyDescent="0.25">
      <c r="O2108" s="84">
        <f t="shared" si="38"/>
        <v>90</v>
      </c>
    </row>
    <row r="2109" spans="15:15" x14ac:dyDescent="0.25">
      <c r="O2109" s="84">
        <f t="shared" si="38"/>
        <v>90</v>
      </c>
    </row>
    <row r="2110" spans="15:15" x14ac:dyDescent="0.25">
      <c r="O2110" s="84">
        <f t="shared" si="38"/>
        <v>90</v>
      </c>
    </row>
    <row r="2111" spans="15:15" x14ac:dyDescent="0.25">
      <c r="O2111" s="84">
        <f t="shared" si="38"/>
        <v>90</v>
      </c>
    </row>
    <row r="2112" spans="15:15" x14ac:dyDescent="0.25">
      <c r="O2112" s="84">
        <f t="shared" si="38"/>
        <v>90</v>
      </c>
    </row>
    <row r="2113" spans="15:15" x14ac:dyDescent="0.25">
      <c r="O2113" s="84">
        <f t="shared" si="38"/>
        <v>90</v>
      </c>
    </row>
    <row r="2114" spans="15:15" x14ac:dyDescent="0.25">
      <c r="O2114" s="84">
        <f t="shared" si="38"/>
        <v>90</v>
      </c>
    </row>
    <row r="2115" spans="15:15" x14ac:dyDescent="0.25">
      <c r="O2115" s="84">
        <f t="shared" ref="O2115:O2178" si="39">90-P2115</f>
        <v>90</v>
      </c>
    </row>
    <row r="2116" spans="15:15" x14ac:dyDescent="0.25">
      <c r="O2116" s="84">
        <f t="shared" si="39"/>
        <v>90</v>
      </c>
    </row>
    <row r="2117" spans="15:15" x14ac:dyDescent="0.25">
      <c r="O2117" s="84">
        <f t="shared" si="39"/>
        <v>90</v>
      </c>
    </row>
    <row r="2118" spans="15:15" x14ac:dyDescent="0.25">
      <c r="O2118" s="84">
        <f t="shared" si="39"/>
        <v>90</v>
      </c>
    </row>
    <row r="2119" spans="15:15" x14ac:dyDescent="0.25">
      <c r="O2119" s="84">
        <f t="shared" si="39"/>
        <v>90</v>
      </c>
    </row>
    <row r="2120" spans="15:15" x14ac:dyDescent="0.25">
      <c r="O2120" s="84">
        <f t="shared" si="39"/>
        <v>90</v>
      </c>
    </row>
    <row r="2121" spans="15:15" x14ac:dyDescent="0.25">
      <c r="O2121" s="84">
        <f t="shared" si="39"/>
        <v>90</v>
      </c>
    </row>
    <row r="2122" spans="15:15" x14ac:dyDescent="0.25">
      <c r="O2122" s="84">
        <f t="shared" si="39"/>
        <v>90</v>
      </c>
    </row>
    <row r="2123" spans="15:15" x14ac:dyDescent="0.25">
      <c r="O2123" s="84">
        <f t="shared" si="39"/>
        <v>90</v>
      </c>
    </row>
    <row r="2124" spans="15:15" x14ac:dyDescent="0.25">
      <c r="O2124" s="84">
        <f t="shared" si="39"/>
        <v>90</v>
      </c>
    </row>
    <row r="2125" spans="15:15" x14ac:dyDescent="0.25">
      <c r="O2125" s="84">
        <f t="shared" si="39"/>
        <v>90</v>
      </c>
    </row>
    <row r="2126" spans="15:15" x14ac:dyDescent="0.25">
      <c r="O2126" s="84">
        <f t="shared" si="39"/>
        <v>90</v>
      </c>
    </row>
    <row r="2127" spans="15:15" x14ac:dyDescent="0.25">
      <c r="O2127" s="84">
        <f t="shared" si="39"/>
        <v>90</v>
      </c>
    </row>
    <row r="2128" spans="15:15" x14ac:dyDescent="0.25">
      <c r="O2128" s="84">
        <f t="shared" si="39"/>
        <v>90</v>
      </c>
    </row>
    <row r="2129" spans="15:15" x14ac:dyDescent="0.25">
      <c r="O2129" s="84">
        <f t="shared" si="39"/>
        <v>90</v>
      </c>
    </row>
    <row r="2130" spans="15:15" x14ac:dyDescent="0.25">
      <c r="O2130" s="84">
        <f t="shared" si="39"/>
        <v>90</v>
      </c>
    </row>
    <row r="2131" spans="15:15" x14ac:dyDescent="0.25">
      <c r="O2131" s="84">
        <f t="shared" si="39"/>
        <v>90</v>
      </c>
    </row>
    <row r="2132" spans="15:15" x14ac:dyDescent="0.25">
      <c r="O2132" s="84">
        <f t="shared" si="39"/>
        <v>90</v>
      </c>
    </row>
    <row r="2133" spans="15:15" x14ac:dyDescent="0.25">
      <c r="O2133" s="84">
        <f t="shared" si="39"/>
        <v>90</v>
      </c>
    </row>
    <row r="2134" spans="15:15" x14ac:dyDescent="0.25">
      <c r="O2134" s="84">
        <f t="shared" si="39"/>
        <v>90</v>
      </c>
    </row>
    <row r="2135" spans="15:15" x14ac:dyDescent="0.25">
      <c r="O2135" s="84">
        <f t="shared" si="39"/>
        <v>90</v>
      </c>
    </row>
    <row r="2136" spans="15:15" x14ac:dyDescent="0.25">
      <c r="O2136" s="84">
        <f t="shared" si="39"/>
        <v>90</v>
      </c>
    </row>
    <row r="2137" spans="15:15" x14ac:dyDescent="0.25">
      <c r="O2137" s="84">
        <f t="shared" si="39"/>
        <v>90</v>
      </c>
    </row>
    <row r="2138" spans="15:15" x14ac:dyDescent="0.25">
      <c r="O2138" s="84">
        <f t="shared" si="39"/>
        <v>90</v>
      </c>
    </row>
    <row r="2139" spans="15:15" x14ac:dyDescent="0.25">
      <c r="O2139" s="84">
        <f t="shared" si="39"/>
        <v>90</v>
      </c>
    </row>
    <row r="2140" spans="15:15" x14ac:dyDescent="0.25">
      <c r="O2140" s="84">
        <f t="shared" si="39"/>
        <v>90</v>
      </c>
    </row>
    <row r="2141" spans="15:15" x14ac:dyDescent="0.25">
      <c r="O2141" s="84">
        <f t="shared" si="39"/>
        <v>90</v>
      </c>
    </row>
    <row r="2142" spans="15:15" x14ac:dyDescent="0.25">
      <c r="O2142" s="84">
        <f t="shared" si="39"/>
        <v>90</v>
      </c>
    </row>
    <row r="2143" spans="15:15" x14ac:dyDescent="0.25">
      <c r="O2143" s="84">
        <f t="shared" si="39"/>
        <v>90</v>
      </c>
    </row>
    <row r="2144" spans="15:15" x14ac:dyDescent="0.25">
      <c r="O2144" s="84">
        <f t="shared" si="39"/>
        <v>90</v>
      </c>
    </row>
    <row r="2145" spans="15:15" x14ac:dyDescent="0.25">
      <c r="O2145" s="84">
        <f t="shared" si="39"/>
        <v>90</v>
      </c>
    </row>
    <row r="2146" spans="15:15" x14ac:dyDescent="0.25">
      <c r="O2146" s="84">
        <f t="shared" si="39"/>
        <v>90</v>
      </c>
    </row>
    <row r="2147" spans="15:15" x14ac:dyDescent="0.25">
      <c r="O2147" s="84">
        <f t="shared" si="39"/>
        <v>90</v>
      </c>
    </row>
    <row r="2148" spans="15:15" x14ac:dyDescent="0.25">
      <c r="O2148" s="84">
        <f t="shared" si="39"/>
        <v>90</v>
      </c>
    </row>
    <row r="2149" spans="15:15" x14ac:dyDescent="0.25">
      <c r="O2149" s="84">
        <f t="shared" si="39"/>
        <v>90</v>
      </c>
    </row>
    <row r="2150" spans="15:15" x14ac:dyDescent="0.25">
      <c r="O2150" s="84">
        <f t="shared" si="39"/>
        <v>90</v>
      </c>
    </row>
    <row r="2151" spans="15:15" x14ac:dyDescent="0.25">
      <c r="O2151" s="84">
        <f t="shared" si="39"/>
        <v>90</v>
      </c>
    </row>
    <row r="2152" spans="15:15" x14ac:dyDescent="0.25">
      <c r="O2152" s="84">
        <f t="shared" si="39"/>
        <v>90</v>
      </c>
    </row>
    <row r="2153" spans="15:15" x14ac:dyDescent="0.25">
      <c r="O2153" s="84">
        <f t="shared" si="39"/>
        <v>90</v>
      </c>
    </row>
    <row r="2154" spans="15:15" x14ac:dyDescent="0.25">
      <c r="O2154" s="84">
        <f t="shared" si="39"/>
        <v>90</v>
      </c>
    </row>
    <row r="2155" spans="15:15" x14ac:dyDescent="0.25">
      <c r="O2155" s="84">
        <f t="shared" si="39"/>
        <v>90</v>
      </c>
    </row>
    <row r="2156" spans="15:15" x14ac:dyDescent="0.25">
      <c r="O2156" s="84">
        <f t="shared" si="39"/>
        <v>90</v>
      </c>
    </row>
    <row r="2157" spans="15:15" x14ac:dyDescent="0.25">
      <c r="O2157" s="84">
        <f t="shared" si="39"/>
        <v>90</v>
      </c>
    </row>
    <row r="2158" spans="15:15" x14ac:dyDescent="0.25">
      <c r="O2158" s="84">
        <f t="shared" si="39"/>
        <v>90</v>
      </c>
    </row>
    <row r="2159" spans="15:15" x14ac:dyDescent="0.25">
      <c r="O2159" s="84">
        <f t="shared" si="39"/>
        <v>90</v>
      </c>
    </row>
    <row r="2160" spans="15:15" x14ac:dyDescent="0.25">
      <c r="O2160" s="84">
        <f t="shared" si="39"/>
        <v>90</v>
      </c>
    </row>
    <row r="2161" spans="15:15" x14ac:dyDescent="0.25">
      <c r="O2161" s="84">
        <f t="shared" si="39"/>
        <v>90</v>
      </c>
    </row>
    <row r="2162" spans="15:15" x14ac:dyDescent="0.25">
      <c r="O2162" s="84">
        <f t="shared" si="39"/>
        <v>90</v>
      </c>
    </row>
    <row r="2163" spans="15:15" x14ac:dyDescent="0.25">
      <c r="O2163" s="84">
        <f t="shared" si="39"/>
        <v>90</v>
      </c>
    </row>
    <row r="2164" spans="15:15" x14ac:dyDescent="0.25">
      <c r="O2164" s="84">
        <f t="shared" si="39"/>
        <v>90</v>
      </c>
    </row>
    <row r="2165" spans="15:15" x14ac:dyDescent="0.25">
      <c r="O2165" s="84">
        <f t="shared" si="39"/>
        <v>90</v>
      </c>
    </row>
    <row r="2166" spans="15:15" x14ac:dyDescent="0.25">
      <c r="O2166" s="84">
        <f t="shared" si="39"/>
        <v>90</v>
      </c>
    </row>
    <row r="2167" spans="15:15" x14ac:dyDescent="0.25">
      <c r="O2167" s="84">
        <f t="shared" si="39"/>
        <v>90</v>
      </c>
    </row>
    <row r="2168" spans="15:15" x14ac:dyDescent="0.25">
      <c r="O2168" s="84">
        <f t="shared" si="39"/>
        <v>90</v>
      </c>
    </row>
    <row r="2169" spans="15:15" x14ac:dyDescent="0.25">
      <c r="O2169" s="84">
        <f t="shared" si="39"/>
        <v>90</v>
      </c>
    </row>
    <row r="2170" spans="15:15" x14ac:dyDescent="0.25">
      <c r="O2170" s="84">
        <f t="shared" si="39"/>
        <v>90</v>
      </c>
    </row>
    <row r="2171" spans="15:15" x14ac:dyDescent="0.25">
      <c r="O2171" s="84">
        <f t="shared" si="39"/>
        <v>90</v>
      </c>
    </row>
    <row r="2172" spans="15:15" x14ac:dyDescent="0.25">
      <c r="O2172" s="84">
        <f t="shared" si="39"/>
        <v>90</v>
      </c>
    </row>
    <row r="2173" spans="15:15" x14ac:dyDescent="0.25">
      <c r="O2173" s="84">
        <f t="shared" si="39"/>
        <v>90</v>
      </c>
    </row>
    <row r="2174" spans="15:15" x14ac:dyDescent="0.25">
      <c r="O2174" s="84">
        <f t="shared" si="39"/>
        <v>90</v>
      </c>
    </row>
    <row r="2175" spans="15:15" x14ac:dyDescent="0.25">
      <c r="O2175" s="84">
        <f t="shared" si="39"/>
        <v>90</v>
      </c>
    </row>
    <row r="2176" spans="15:15" x14ac:dyDescent="0.25">
      <c r="O2176" s="84">
        <f t="shared" si="39"/>
        <v>90</v>
      </c>
    </row>
    <row r="2177" spans="15:15" x14ac:dyDescent="0.25">
      <c r="O2177" s="84">
        <f t="shared" si="39"/>
        <v>90</v>
      </c>
    </row>
    <row r="2178" spans="15:15" x14ac:dyDescent="0.25">
      <c r="O2178" s="84">
        <f t="shared" si="39"/>
        <v>90</v>
      </c>
    </row>
    <row r="2179" spans="15:15" x14ac:dyDescent="0.25">
      <c r="O2179" s="84">
        <f t="shared" ref="O2179:O2242" si="40">90-P2179</f>
        <v>90</v>
      </c>
    </row>
    <row r="2180" spans="15:15" x14ac:dyDescent="0.25">
      <c r="O2180" s="84">
        <f t="shared" si="40"/>
        <v>90</v>
      </c>
    </row>
    <row r="2181" spans="15:15" x14ac:dyDescent="0.25">
      <c r="O2181" s="84">
        <f t="shared" si="40"/>
        <v>90</v>
      </c>
    </row>
    <row r="2182" spans="15:15" x14ac:dyDescent="0.25">
      <c r="O2182" s="84">
        <f t="shared" si="40"/>
        <v>90</v>
      </c>
    </row>
    <row r="2183" spans="15:15" x14ac:dyDescent="0.25">
      <c r="O2183" s="84">
        <f t="shared" si="40"/>
        <v>90</v>
      </c>
    </row>
    <row r="2184" spans="15:15" x14ac:dyDescent="0.25">
      <c r="O2184" s="84">
        <f t="shared" si="40"/>
        <v>90</v>
      </c>
    </row>
    <row r="2185" spans="15:15" x14ac:dyDescent="0.25">
      <c r="O2185" s="84">
        <f t="shared" si="40"/>
        <v>90</v>
      </c>
    </row>
    <row r="2186" spans="15:15" x14ac:dyDescent="0.25">
      <c r="O2186" s="84">
        <f t="shared" si="40"/>
        <v>90</v>
      </c>
    </row>
    <row r="2187" spans="15:15" x14ac:dyDescent="0.25">
      <c r="O2187" s="84">
        <f t="shared" si="40"/>
        <v>90</v>
      </c>
    </row>
    <row r="2188" spans="15:15" x14ac:dyDescent="0.25">
      <c r="O2188" s="84">
        <f t="shared" si="40"/>
        <v>90</v>
      </c>
    </row>
    <row r="2189" spans="15:15" x14ac:dyDescent="0.25">
      <c r="O2189" s="84">
        <f t="shared" si="40"/>
        <v>90</v>
      </c>
    </row>
    <row r="2190" spans="15:15" x14ac:dyDescent="0.25">
      <c r="O2190" s="84">
        <f t="shared" si="40"/>
        <v>90</v>
      </c>
    </row>
    <row r="2191" spans="15:15" x14ac:dyDescent="0.25">
      <c r="O2191" s="84">
        <f t="shared" si="40"/>
        <v>90</v>
      </c>
    </row>
    <row r="2192" spans="15:15" x14ac:dyDescent="0.25">
      <c r="O2192" s="84">
        <f t="shared" si="40"/>
        <v>90</v>
      </c>
    </row>
    <row r="2193" spans="15:15" x14ac:dyDescent="0.25">
      <c r="O2193" s="84">
        <f t="shared" si="40"/>
        <v>90</v>
      </c>
    </row>
    <row r="2194" spans="15:15" x14ac:dyDescent="0.25">
      <c r="O2194" s="84">
        <f t="shared" si="40"/>
        <v>90</v>
      </c>
    </row>
    <row r="2195" spans="15:15" x14ac:dyDescent="0.25">
      <c r="O2195" s="84">
        <f t="shared" si="40"/>
        <v>90</v>
      </c>
    </row>
    <row r="2196" spans="15:15" x14ac:dyDescent="0.25">
      <c r="O2196" s="84">
        <f t="shared" si="40"/>
        <v>90</v>
      </c>
    </row>
    <row r="2197" spans="15:15" x14ac:dyDescent="0.25">
      <c r="O2197" s="84">
        <f t="shared" si="40"/>
        <v>90</v>
      </c>
    </row>
    <row r="2198" spans="15:15" x14ac:dyDescent="0.25">
      <c r="O2198" s="84">
        <f t="shared" si="40"/>
        <v>90</v>
      </c>
    </row>
    <row r="2199" spans="15:15" x14ac:dyDescent="0.25">
      <c r="O2199" s="84">
        <f t="shared" si="40"/>
        <v>90</v>
      </c>
    </row>
    <row r="2200" spans="15:15" x14ac:dyDescent="0.25">
      <c r="O2200" s="84">
        <f t="shared" si="40"/>
        <v>90</v>
      </c>
    </row>
    <row r="2201" spans="15:15" x14ac:dyDescent="0.25">
      <c r="O2201" s="84">
        <f t="shared" si="40"/>
        <v>90</v>
      </c>
    </row>
    <row r="2202" spans="15:15" x14ac:dyDescent="0.25">
      <c r="O2202" s="84">
        <f t="shared" si="40"/>
        <v>90</v>
      </c>
    </row>
    <row r="2203" spans="15:15" x14ac:dyDescent="0.25">
      <c r="O2203" s="84">
        <f t="shared" si="40"/>
        <v>90</v>
      </c>
    </row>
    <row r="2204" spans="15:15" x14ac:dyDescent="0.25">
      <c r="O2204" s="84">
        <f t="shared" si="40"/>
        <v>90</v>
      </c>
    </row>
    <row r="2205" spans="15:15" x14ac:dyDescent="0.25">
      <c r="O2205" s="84">
        <f t="shared" si="40"/>
        <v>90</v>
      </c>
    </row>
    <row r="2206" spans="15:15" x14ac:dyDescent="0.25">
      <c r="O2206" s="84">
        <f t="shared" si="40"/>
        <v>90</v>
      </c>
    </row>
    <row r="2207" spans="15:15" x14ac:dyDescent="0.25">
      <c r="O2207" s="84">
        <f t="shared" si="40"/>
        <v>90</v>
      </c>
    </row>
    <row r="2208" spans="15:15" x14ac:dyDescent="0.25">
      <c r="O2208" s="84">
        <f t="shared" si="40"/>
        <v>90</v>
      </c>
    </row>
    <row r="2209" spans="15:15" x14ac:dyDescent="0.25">
      <c r="O2209" s="84">
        <f t="shared" si="40"/>
        <v>90</v>
      </c>
    </row>
    <row r="2210" spans="15:15" x14ac:dyDescent="0.25">
      <c r="O2210" s="84">
        <f t="shared" si="40"/>
        <v>90</v>
      </c>
    </row>
    <row r="2211" spans="15:15" x14ac:dyDescent="0.25">
      <c r="O2211" s="84">
        <f t="shared" si="40"/>
        <v>90</v>
      </c>
    </row>
    <row r="2212" spans="15:15" x14ac:dyDescent="0.25">
      <c r="O2212" s="84">
        <f t="shared" si="40"/>
        <v>90</v>
      </c>
    </row>
    <row r="2213" spans="15:15" x14ac:dyDescent="0.25">
      <c r="O2213" s="84">
        <f t="shared" si="40"/>
        <v>90</v>
      </c>
    </row>
    <row r="2214" spans="15:15" x14ac:dyDescent="0.25">
      <c r="O2214" s="84">
        <f t="shared" si="40"/>
        <v>90</v>
      </c>
    </row>
    <row r="2215" spans="15:15" x14ac:dyDescent="0.25">
      <c r="O2215" s="84">
        <f t="shared" si="40"/>
        <v>90</v>
      </c>
    </row>
    <row r="2216" spans="15:15" x14ac:dyDescent="0.25">
      <c r="O2216" s="84">
        <f t="shared" si="40"/>
        <v>90</v>
      </c>
    </row>
    <row r="2217" spans="15:15" x14ac:dyDescent="0.25">
      <c r="O2217" s="84">
        <f t="shared" si="40"/>
        <v>90</v>
      </c>
    </row>
    <row r="2218" spans="15:15" x14ac:dyDescent="0.25">
      <c r="O2218" s="84">
        <f t="shared" si="40"/>
        <v>90</v>
      </c>
    </row>
    <row r="2219" spans="15:15" x14ac:dyDescent="0.25">
      <c r="O2219" s="84">
        <f t="shared" si="40"/>
        <v>90</v>
      </c>
    </row>
    <row r="2220" spans="15:15" x14ac:dyDescent="0.25">
      <c r="O2220" s="84">
        <f t="shared" si="40"/>
        <v>90</v>
      </c>
    </row>
    <row r="2221" spans="15:15" x14ac:dyDescent="0.25">
      <c r="O2221" s="84">
        <f t="shared" si="40"/>
        <v>90</v>
      </c>
    </row>
    <row r="2222" spans="15:15" x14ac:dyDescent="0.25">
      <c r="O2222" s="84">
        <f t="shared" si="40"/>
        <v>90</v>
      </c>
    </row>
    <row r="2223" spans="15:15" x14ac:dyDescent="0.25">
      <c r="O2223" s="84">
        <f t="shared" si="40"/>
        <v>90</v>
      </c>
    </row>
    <row r="2224" spans="15:15" x14ac:dyDescent="0.25">
      <c r="O2224" s="84">
        <f t="shared" si="40"/>
        <v>90</v>
      </c>
    </row>
    <row r="2225" spans="15:15" x14ac:dyDescent="0.25">
      <c r="O2225" s="84">
        <f t="shared" si="40"/>
        <v>90</v>
      </c>
    </row>
    <row r="2226" spans="15:15" x14ac:dyDescent="0.25">
      <c r="O2226" s="84">
        <f t="shared" si="40"/>
        <v>90</v>
      </c>
    </row>
    <row r="2227" spans="15:15" x14ac:dyDescent="0.25">
      <c r="O2227" s="84">
        <f t="shared" si="40"/>
        <v>90</v>
      </c>
    </row>
    <row r="2228" spans="15:15" x14ac:dyDescent="0.25">
      <c r="O2228" s="84">
        <f t="shared" si="40"/>
        <v>90</v>
      </c>
    </row>
    <row r="2229" spans="15:15" x14ac:dyDescent="0.25">
      <c r="O2229" s="84">
        <f t="shared" si="40"/>
        <v>90</v>
      </c>
    </row>
    <row r="2230" spans="15:15" x14ac:dyDescent="0.25">
      <c r="O2230" s="84">
        <f t="shared" si="40"/>
        <v>90</v>
      </c>
    </row>
    <row r="2231" spans="15:15" x14ac:dyDescent="0.25">
      <c r="O2231" s="84">
        <f t="shared" si="40"/>
        <v>90</v>
      </c>
    </row>
    <row r="2232" spans="15:15" x14ac:dyDescent="0.25">
      <c r="O2232" s="84">
        <f t="shared" si="40"/>
        <v>90</v>
      </c>
    </row>
    <row r="2233" spans="15:15" x14ac:dyDescent="0.25">
      <c r="O2233" s="84">
        <f t="shared" si="40"/>
        <v>90</v>
      </c>
    </row>
    <row r="2234" spans="15:15" x14ac:dyDescent="0.25">
      <c r="O2234" s="84">
        <f t="shared" si="40"/>
        <v>90</v>
      </c>
    </row>
    <row r="2235" spans="15:15" x14ac:dyDescent="0.25">
      <c r="O2235" s="84">
        <f t="shared" si="40"/>
        <v>90</v>
      </c>
    </row>
    <row r="2236" spans="15:15" x14ac:dyDescent="0.25">
      <c r="O2236" s="84">
        <f t="shared" si="40"/>
        <v>90</v>
      </c>
    </row>
    <row r="2237" spans="15:15" x14ac:dyDescent="0.25">
      <c r="O2237" s="84">
        <f t="shared" si="40"/>
        <v>90</v>
      </c>
    </row>
    <row r="2238" spans="15:15" x14ac:dyDescent="0.25">
      <c r="O2238" s="84">
        <f t="shared" si="40"/>
        <v>90</v>
      </c>
    </row>
    <row r="2239" spans="15:15" x14ac:dyDescent="0.25">
      <c r="O2239" s="84">
        <f t="shared" si="40"/>
        <v>90</v>
      </c>
    </row>
    <row r="2240" spans="15:15" x14ac:dyDescent="0.25">
      <c r="O2240" s="84">
        <f t="shared" si="40"/>
        <v>90</v>
      </c>
    </row>
    <row r="2241" spans="15:15" x14ac:dyDescent="0.25">
      <c r="O2241" s="84">
        <f t="shared" si="40"/>
        <v>90</v>
      </c>
    </row>
    <row r="2242" spans="15:15" x14ac:dyDescent="0.25">
      <c r="O2242" s="84">
        <f t="shared" si="40"/>
        <v>90</v>
      </c>
    </row>
    <row r="2243" spans="15:15" x14ac:dyDescent="0.25">
      <c r="O2243" s="84">
        <f t="shared" ref="O2243:O2306" si="41">90-P2243</f>
        <v>90</v>
      </c>
    </row>
    <row r="2244" spans="15:15" x14ac:dyDescent="0.25">
      <c r="O2244" s="84">
        <f t="shared" si="41"/>
        <v>90</v>
      </c>
    </row>
    <row r="2245" spans="15:15" x14ac:dyDescent="0.25">
      <c r="O2245" s="84">
        <f t="shared" si="41"/>
        <v>90</v>
      </c>
    </row>
    <row r="2246" spans="15:15" x14ac:dyDescent="0.25">
      <c r="O2246" s="84">
        <f t="shared" si="41"/>
        <v>90</v>
      </c>
    </row>
    <row r="2247" spans="15:15" x14ac:dyDescent="0.25">
      <c r="O2247" s="84">
        <f t="shared" si="41"/>
        <v>90</v>
      </c>
    </row>
    <row r="2248" spans="15:15" x14ac:dyDescent="0.25">
      <c r="O2248" s="84">
        <f t="shared" si="41"/>
        <v>90</v>
      </c>
    </row>
    <row r="2249" spans="15:15" x14ac:dyDescent="0.25">
      <c r="O2249" s="84">
        <f t="shared" si="41"/>
        <v>90</v>
      </c>
    </row>
    <row r="2250" spans="15:15" x14ac:dyDescent="0.25">
      <c r="O2250" s="84">
        <f t="shared" si="41"/>
        <v>90</v>
      </c>
    </row>
    <row r="2251" spans="15:15" x14ac:dyDescent="0.25">
      <c r="O2251" s="84">
        <f t="shared" si="41"/>
        <v>90</v>
      </c>
    </row>
    <row r="2252" spans="15:15" x14ac:dyDescent="0.25">
      <c r="O2252" s="84">
        <f t="shared" si="41"/>
        <v>90</v>
      </c>
    </row>
    <row r="2253" spans="15:15" x14ac:dyDescent="0.25">
      <c r="O2253" s="84">
        <f t="shared" si="41"/>
        <v>90</v>
      </c>
    </row>
    <row r="2254" spans="15:15" x14ac:dyDescent="0.25">
      <c r="O2254" s="84">
        <f t="shared" si="41"/>
        <v>90</v>
      </c>
    </row>
    <row r="2255" spans="15:15" x14ac:dyDescent="0.25">
      <c r="O2255" s="84">
        <f t="shared" si="41"/>
        <v>90</v>
      </c>
    </row>
    <row r="2256" spans="15:15" x14ac:dyDescent="0.25">
      <c r="O2256" s="84">
        <f t="shared" si="41"/>
        <v>90</v>
      </c>
    </row>
    <row r="2257" spans="15:15" x14ac:dyDescent="0.25">
      <c r="O2257" s="84">
        <f t="shared" si="41"/>
        <v>90</v>
      </c>
    </row>
    <row r="2258" spans="15:15" x14ac:dyDescent="0.25">
      <c r="O2258" s="84">
        <f t="shared" si="41"/>
        <v>90</v>
      </c>
    </row>
    <row r="2259" spans="15:15" x14ac:dyDescent="0.25">
      <c r="O2259" s="84">
        <f t="shared" si="41"/>
        <v>90</v>
      </c>
    </row>
    <row r="2260" spans="15:15" x14ac:dyDescent="0.25">
      <c r="O2260" s="84">
        <f t="shared" si="41"/>
        <v>90</v>
      </c>
    </row>
    <row r="2261" spans="15:15" x14ac:dyDescent="0.25">
      <c r="O2261" s="84">
        <f t="shared" si="41"/>
        <v>90</v>
      </c>
    </row>
    <row r="2262" spans="15:15" x14ac:dyDescent="0.25">
      <c r="O2262" s="84">
        <f t="shared" si="41"/>
        <v>90</v>
      </c>
    </row>
    <row r="2263" spans="15:15" x14ac:dyDescent="0.25">
      <c r="O2263" s="84">
        <f t="shared" si="41"/>
        <v>90</v>
      </c>
    </row>
    <row r="2264" spans="15:15" x14ac:dyDescent="0.25">
      <c r="O2264" s="84">
        <f t="shared" si="41"/>
        <v>90</v>
      </c>
    </row>
    <row r="2265" spans="15:15" x14ac:dyDescent="0.25">
      <c r="O2265" s="84">
        <f t="shared" si="41"/>
        <v>90</v>
      </c>
    </row>
    <row r="2266" spans="15:15" x14ac:dyDescent="0.25">
      <c r="O2266" s="84">
        <f t="shared" si="41"/>
        <v>90</v>
      </c>
    </row>
    <row r="2267" spans="15:15" x14ac:dyDescent="0.25">
      <c r="O2267" s="84">
        <f t="shared" si="41"/>
        <v>90</v>
      </c>
    </row>
    <row r="2268" spans="15:15" x14ac:dyDescent="0.25">
      <c r="O2268" s="84">
        <f t="shared" si="41"/>
        <v>90</v>
      </c>
    </row>
    <row r="2269" spans="15:15" x14ac:dyDescent="0.25">
      <c r="O2269" s="84">
        <f t="shared" si="41"/>
        <v>90</v>
      </c>
    </row>
    <row r="2270" spans="15:15" x14ac:dyDescent="0.25">
      <c r="O2270" s="84">
        <f t="shared" si="41"/>
        <v>90</v>
      </c>
    </row>
    <row r="2271" spans="15:15" x14ac:dyDescent="0.25">
      <c r="O2271" s="84">
        <f t="shared" si="41"/>
        <v>90</v>
      </c>
    </row>
    <row r="2272" spans="15:15" x14ac:dyDescent="0.25">
      <c r="O2272" s="84">
        <f t="shared" si="41"/>
        <v>90</v>
      </c>
    </row>
    <row r="2273" spans="15:15" x14ac:dyDescent="0.25">
      <c r="O2273" s="84">
        <f t="shared" si="41"/>
        <v>90</v>
      </c>
    </row>
    <row r="2274" spans="15:15" x14ac:dyDescent="0.25">
      <c r="O2274" s="84">
        <f t="shared" si="41"/>
        <v>90</v>
      </c>
    </row>
    <row r="2275" spans="15:15" x14ac:dyDescent="0.25">
      <c r="O2275" s="84">
        <f t="shared" si="41"/>
        <v>90</v>
      </c>
    </row>
    <row r="2276" spans="15:15" x14ac:dyDescent="0.25">
      <c r="O2276" s="84">
        <f t="shared" si="41"/>
        <v>90</v>
      </c>
    </row>
    <row r="2277" spans="15:15" x14ac:dyDescent="0.25">
      <c r="O2277" s="84">
        <f t="shared" si="41"/>
        <v>90</v>
      </c>
    </row>
    <row r="2278" spans="15:15" x14ac:dyDescent="0.25">
      <c r="O2278" s="84">
        <f t="shared" si="41"/>
        <v>90</v>
      </c>
    </row>
    <row r="2279" spans="15:15" x14ac:dyDescent="0.25">
      <c r="O2279" s="84">
        <f t="shared" si="41"/>
        <v>90</v>
      </c>
    </row>
    <row r="2280" spans="15:15" x14ac:dyDescent="0.25">
      <c r="O2280" s="84">
        <f t="shared" si="41"/>
        <v>90</v>
      </c>
    </row>
    <row r="2281" spans="15:15" x14ac:dyDescent="0.25">
      <c r="O2281" s="84">
        <f t="shared" si="41"/>
        <v>90</v>
      </c>
    </row>
    <row r="2282" spans="15:15" x14ac:dyDescent="0.25">
      <c r="O2282" s="84">
        <f t="shared" si="41"/>
        <v>90</v>
      </c>
    </row>
    <row r="2283" spans="15:15" x14ac:dyDescent="0.25">
      <c r="O2283" s="84">
        <f t="shared" si="41"/>
        <v>90</v>
      </c>
    </row>
    <row r="2284" spans="15:15" x14ac:dyDescent="0.25">
      <c r="O2284" s="84">
        <f t="shared" si="41"/>
        <v>90</v>
      </c>
    </row>
    <row r="2285" spans="15:15" x14ac:dyDescent="0.25">
      <c r="O2285" s="84">
        <f t="shared" si="41"/>
        <v>90</v>
      </c>
    </row>
    <row r="2286" spans="15:15" x14ac:dyDescent="0.25">
      <c r="O2286" s="84">
        <f t="shared" si="41"/>
        <v>90</v>
      </c>
    </row>
    <row r="2287" spans="15:15" x14ac:dyDescent="0.25">
      <c r="O2287" s="84">
        <f t="shared" si="41"/>
        <v>90</v>
      </c>
    </row>
    <row r="2288" spans="15:15" x14ac:dyDescent="0.25">
      <c r="O2288" s="84">
        <f t="shared" si="41"/>
        <v>90</v>
      </c>
    </row>
    <row r="2289" spans="15:15" x14ac:dyDescent="0.25">
      <c r="O2289" s="84">
        <f t="shared" si="41"/>
        <v>90</v>
      </c>
    </row>
    <row r="2290" spans="15:15" x14ac:dyDescent="0.25">
      <c r="O2290" s="84">
        <f t="shared" si="41"/>
        <v>90</v>
      </c>
    </row>
    <row r="2291" spans="15:15" x14ac:dyDescent="0.25">
      <c r="O2291" s="84">
        <f t="shared" si="41"/>
        <v>90</v>
      </c>
    </row>
    <row r="2292" spans="15:15" x14ac:dyDescent="0.25">
      <c r="O2292" s="84">
        <f t="shared" si="41"/>
        <v>90</v>
      </c>
    </row>
    <row r="2293" spans="15:15" x14ac:dyDescent="0.25">
      <c r="O2293" s="84">
        <f t="shared" si="41"/>
        <v>90</v>
      </c>
    </row>
    <row r="2294" spans="15:15" x14ac:dyDescent="0.25">
      <c r="O2294" s="84">
        <f t="shared" si="41"/>
        <v>90</v>
      </c>
    </row>
    <row r="2295" spans="15:15" x14ac:dyDescent="0.25">
      <c r="O2295" s="84">
        <f t="shared" si="41"/>
        <v>90</v>
      </c>
    </row>
    <row r="2296" spans="15:15" x14ac:dyDescent="0.25">
      <c r="O2296" s="84">
        <f t="shared" si="41"/>
        <v>90</v>
      </c>
    </row>
    <row r="2297" spans="15:15" x14ac:dyDescent="0.25">
      <c r="O2297" s="84">
        <f t="shared" si="41"/>
        <v>90</v>
      </c>
    </row>
    <row r="2298" spans="15:15" x14ac:dyDescent="0.25">
      <c r="O2298" s="84">
        <f t="shared" si="41"/>
        <v>90</v>
      </c>
    </row>
    <row r="2299" spans="15:15" x14ac:dyDescent="0.25">
      <c r="O2299" s="84">
        <f t="shared" si="41"/>
        <v>90</v>
      </c>
    </row>
    <row r="2300" spans="15:15" x14ac:dyDescent="0.25">
      <c r="O2300" s="84">
        <f t="shared" si="41"/>
        <v>90</v>
      </c>
    </row>
    <row r="2301" spans="15:15" x14ac:dyDescent="0.25">
      <c r="O2301" s="84">
        <f t="shared" si="41"/>
        <v>90</v>
      </c>
    </row>
    <row r="2302" spans="15:15" x14ac:dyDescent="0.25">
      <c r="O2302" s="84">
        <f t="shared" si="41"/>
        <v>90</v>
      </c>
    </row>
    <row r="2303" spans="15:15" x14ac:dyDescent="0.25">
      <c r="O2303" s="84">
        <f t="shared" si="41"/>
        <v>90</v>
      </c>
    </row>
    <row r="2304" spans="15:15" x14ac:dyDescent="0.25">
      <c r="O2304" s="84">
        <f t="shared" si="41"/>
        <v>90</v>
      </c>
    </row>
    <row r="2305" spans="15:15" x14ac:dyDescent="0.25">
      <c r="O2305" s="84">
        <f t="shared" si="41"/>
        <v>90</v>
      </c>
    </row>
    <row r="2306" spans="15:15" x14ac:dyDescent="0.25">
      <c r="O2306" s="84">
        <f t="shared" si="41"/>
        <v>90</v>
      </c>
    </row>
    <row r="2307" spans="15:15" x14ac:dyDescent="0.25">
      <c r="O2307" s="84">
        <f t="shared" ref="O2307:O2370" si="42">90-P2307</f>
        <v>90</v>
      </c>
    </row>
    <row r="2308" spans="15:15" x14ac:dyDescent="0.25">
      <c r="O2308" s="84">
        <f t="shared" si="42"/>
        <v>90</v>
      </c>
    </row>
    <row r="2309" spans="15:15" x14ac:dyDescent="0.25">
      <c r="O2309" s="84">
        <f t="shared" si="42"/>
        <v>90</v>
      </c>
    </row>
    <row r="2310" spans="15:15" x14ac:dyDescent="0.25">
      <c r="O2310" s="84">
        <f t="shared" si="42"/>
        <v>90</v>
      </c>
    </row>
    <row r="2311" spans="15:15" x14ac:dyDescent="0.25">
      <c r="O2311" s="84">
        <f t="shared" si="42"/>
        <v>90</v>
      </c>
    </row>
    <row r="2312" spans="15:15" x14ac:dyDescent="0.25">
      <c r="O2312" s="84">
        <f t="shared" si="42"/>
        <v>90</v>
      </c>
    </row>
    <row r="2313" spans="15:15" x14ac:dyDescent="0.25">
      <c r="O2313" s="84">
        <f t="shared" si="42"/>
        <v>90</v>
      </c>
    </row>
    <row r="2314" spans="15:15" x14ac:dyDescent="0.25">
      <c r="O2314" s="84">
        <f t="shared" si="42"/>
        <v>90</v>
      </c>
    </row>
    <row r="2315" spans="15:15" x14ac:dyDescent="0.25">
      <c r="O2315" s="84">
        <f t="shared" si="42"/>
        <v>90</v>
      </c>
    </row>
    <row r="2316" spans="15:15" x14ac:dyDescent="0.25">
      <c r="O2316" s="84">
        <f t="shared" si="42"/>
        <v>90</v>
      </c>
    </row>
    <row r="2317" spans="15:15" x14ac:dyDescent="0.25">
      <c r="O2317" s="84">
        <f t="shared" si="42"/>
        <v>90</v>
      </c>
    </row>
    <row r="2318" spans="15:15" x14ac:dyDescent="0.25">
      <c r="O2318" s="84">
        <f t="shared" si="42"/>
        <v>90</v>
      </c>
    </row>
    <row r="2319" spans="15:15" x14ac:dyDescent="0.25">
      <c r="O2319" s="84">
        <f t="shared" si="42"/>
        <v>90</v>
      </c>
    </row>
    <row r="2320" spans="15:15" x14ac:dyDescent="0.25">
      <c r="O2320" s="84">
        <f t="shared" si="42"/>
        <v>90</v>
      </c>
    </row>
    <row r="2321" spans="15:15" x14ac:dyDescent="0.25">
      <c r="O2321" s="84">
        <f t="shared" si="42"/>
        <v>90</v>
      </c>
    </row>
    <row r="2322" spans="15:15" x14ac:dyDescent="0.25">
      <c r="O2322" s="84">
        <f t="shared" si="42"/>
        <v>90</v>
      </c>
    </row>
    <row r="2323" spans="15:15" x14ac:dyDescent="0.25">
      <c r="O2323" s="84">
        <f t="shared" si="42"/>
        <v>90</v>
      </c>
    </row>
    <row r="2324" spans="15:15" x14ac:dyDescent="0.25">
      <c r="O2324" s="84">
        <f t="shared" si="42"/>
        <v>90</v>
      </c>
    </row>
    <row r="2325" spans="15:15" x14ac:dyDescent="0.25">
      <c r="O2325" s="84">
        <f t="shared" si="42"/>
        <v>90</v>
      </c>
    </row>
    <row r="2326" spans="15:15" x14ac:dyDescent="0.25">
      <c r="O2326" s="84">
        <f t="shared" si="42"/>
        <v>90</v>
      </c>
    </row>
    <row r="2327" spans="15:15" x14ac:dyDescent="0.25">
      <c r="O2327" s="84">
        <f t="shared" si="42"/>
        <v>90</v>
      </c>
    </row>
    <row r="2328" spans="15:15" x14ac:dyDescent="0.25">
      <c r="O2328" s="84">
        <f t="shared" si="42"/>
        <v>90</v>
      </c>
    </row>
    <row r="2329" spans="15:15" x14ac:dyDescent="0.25">
      <c r="O2329" s="84">
        <f t="shared" si="42"/>
        <v>90</v>
      </c>
    </row>
    <row r="2330" spans="15:15" x14ac:dyDescent="0.25">
      <c r="O2330" s="84">
        <f t="shared" si="42"/>
        <v>90</v>
      </c>
    </row>
    <row r="2331" spans="15:15" x14ac:dyDescent="0.25">
      <c r="O2331" s="84">
        <f t="shared" si="42"/>
        <v>90</v>
      </c>
    </row>
    <row r="2332" spans="15:15" x14ac:dyDescent="0.25">
      <c r="O2332" s="84">
        <f t="shared" si="42"/>
        <v>90</v>
      </c>
    </row>
    <row r="2333" spans="15:15" x14ac:dyDescent="0.25">
      <c r="O2333" s="84">
        <f t="shared" si="42"/>
        <v>90</v>
      </c>
    </row>
    <row r="2334" spans="15:15" x14ac:dyDescent="0.25">
      <c r="O2334" s="84">
        <f t="shared" si="42"/>
        <v>90</v>
      </c>
    </row>
    <row r="2335" spans="15:15" x14ac:dyDescent="0.25">
      <c r="O2335" s="84">
        <f t="shared" si="42"/>
        <v>90</v>
      </c>
    </row>
    <row r="2336" spans="15:15" x14ac:dyDescent="0.25">
      <c r="O2336" s="84">
        <f t="shared" si="42"/>
        <v>90</v>
      </c>
    </row>
    <row r="2337" spans="15:15" x14ac:dyDescent="0.25">
      <c r="O2337" s="84">
        <f t="shared" si="42"/>
        <v>90</v>
      </c>
    </row>
    <row r="2338" spans="15:15" x14ac:dyDescent="0.25">
      <c r="O2338" s="84">
        <f t="shared" si="42"/>
        <v>90</v>
      </c>
    </row>
    <row r="2339" spans="15:15" x14ac:dyDescent="0.25">
      <c r="O2339" s="84">
        <f t="shared" si="42"/>
        <v>90</v>
      </c>
    </row>
    <row r="2340" spans="15:15" x14ac:dyDescent="0.25">
      <c r="O2340" s="84">
        <f t="shared" si="42"/>
        <v>90</v>
      </c>
    </row>
    <row r="2341" spans="15:15" x14ac:dyDescent="0.25">
      <c r="O2341" s="84">
        <f t="shared" si="42"/>
        <v>90</v>
      </c>
    </row>
    <row r="2342" spans="15:15" x14ac:dyDescent="0.25">
      <c r="O2342" s="84">
        <f t="shared" si="42"/>
        <v>90</v>
      </c>
    </row>
    <row r="2343" spans="15:15" x14ac:dyDescent="0.25">
      <c r="O2343" s="84">
        <f t="shared" si="42"/>
        <v>90</v>
      </c>
    </row>
    <row r="2344" spans="15:15" x14ac:dyDescent="0.25">
      <c r="O2344" s="84">
        <f t="shared" si="42"/>
        <v>90</v>
      </c>
    </row>
    <row r="2345" spans="15:15" x14ac:dyDescent="0.25">
      <c r="O2345" s="84">
        <f t="shared" si="42"/>
        <v>90</v>
      </c>
    </row>
    <row r="2346" spans="15:15" x14ac:dyDescent="0.25">
      <c r="O2346" s="84">
        <f t="shared" si="42"/>
        <v>90</v>
      </c>
    </row>
    <row r="2347" spans="15:15" x14ac:dyDescent="0.25">
      <c r="O2347" s="84">
        <f t="shared" si="42"/>
        <v>90</v>
      </c>
    </row>
    <row r="2348" spans="15:15" x14ac:dyDescent="0.25">
      <c r="O2348" s="84">
        <f t="shared" si="42"/>
        <v>90</v>
      </c>
    </row>
    <row r="2349" spans="15:15" x14ac:dyDescent="0.25">
      <c r="O2349" s="84">
        <f t="shared" si="42"/>
        <v>90</v>
      </c>
    </row>
    <row r="2350" spans="15:15" x14ac:dyDescent="0.25">
      <c r="O2350" s="84">
        <f t="shared" si="42"/>
        <v>90</v>
      </c>
    </row>
    <row r="2351" spans="15:15" x14ac:dyDescent="0.25">
      <c r="O2351" s="84">
        <f t="shared" si="42"/>
        <v>90</v>
      </c>
    </row>
    <row r="2352" spans="15:15" x14ac:dyDescent="0.25">
      <c r="O2352" s="84">
        <f t="shared" si="42"/>
        <v>90</v>
      </c>
    </row>
    <row r="2353" spans="15:15" x14ac:dyDescent="0.25">
      <c r="O2353" s="84">
        <f t="shared" si="42"/>
        <v>90</v>
      </c>
    </row>
    <row r="2354" spans="15:15" x14ac:dyDescent="0.25">
      <c r="O2354" s="84">
        <f t="shared" si="42"/>
        <v>90</v>
      </c>
    </row>
    <row r="2355" spans="15:15" x14ac:dyDescent="0.25">
      <c r="O2355" s="84">
        <f t="shared" si="42"/>
        <v>90</v>
      </c>
    </row>
    <row r="2356" spans="15:15" x14ac:dyDescent="0.25">
      <c r="O2356" s="84">
        <f t="shared" si="42"/>
        <v>90</v>
      </c>
    </row>
    <row r="2357" spans="15:15" x14ac:dyDescent="0.25">
      <c r="O2357" s="84">
        <f t="shared" si="42"/>
        <v>90</v>
      </c>
    </row>
    <row r="2358" spans="15:15" x14ac:dyDescent="0.25">
      <c r="O2358" s="84">
        <f t="shared" si="42"/>
        <v>90</v>
      </c>
    </row>
    <row r="2359" spans="15:15" x14ac:dyDescent="0.25">
      <c r="O2359" s="84">
        <f t="shared" si="42"/>
        <v>90</v>
      </c>
    </row>
    <row r="2360" spans="15:15" x14ac:dyDescent="0.25">
      <c r="O2360" s="84">
        <f t="shared" si="42"/>
        <v>90</v>
      </c>
    </row>
    <row r="2361" spans="15:15" x14ac:dyDescent="0.25">
      <c r="O2361" s="84">
        <f t="shared" si="42"/>
        <v>90</v>
      </c>
    </row>
    <row r="2362" spans="15:15" x14ac:dyDescent="0.25">
      <c r="O2362" s="84">
        <f t="shared" si="42"/>
        <v>90</v>
      </c>
    </row>
    <row r="2363" spans="15:15" x14ac:dyDescent="0.25">
      <c r="O2363" s="84">
        <f t="shared" si="42"/>
        <v>90</v>
      </c>
    </row>
    <row r="2364" spans="15:15" x14ac:dyDescent="0.25">
      <c r="O2364" s="84">
        <f t="shared" si="42"/>
        <v>90</v>
      </c>
    </row>
    <row r="2365" spans="15:15" x14ac:dyDescent="0.25">
      <c r="O2365" s="84">
        <f t="shared" si="42"/>
        <v>90</v>
      </c>
    </row>
    <row r="2366" spans="15:15" x14ac:dyDescent="0.25">
      <c r="O2366" s="84">
        <f t="shared" si="42"/>
        <v>90</v>
      </c>
    </row>
    <row r="2367" spans="15:15" x14ac:dyDescent="0.25">
      <c r="O2367" s="84">
        <f t="shared" si="42"/>
        <v>90</v>
      </c>
    </row>
    <row r="2368" spans="15:15" x14ac:dyDescent="0.25">
      <c r="O2368" s="84">
        <f t="shared" si="42"/>
        <v>90</v>
      </c>
    </row>
    <row r="2369" spans="15:15" x14ac:dyDescent="0.25">
      <c r="O2369" s="84">
        <f t="shared" si="42"/>
        <v>90</v>
      </c>
    </row>
    <row r="2370" spans="15:15" x14ac:dyDescent="0.25">
      <c r="O2370" s="84">
        <f t="shared" si="42"/>
        <v>90</v>
      </c>
    </row>
    <row r="2371" spans="15:15" x14ac:dyDescent="0.25">
      <c r="O2371" s="84">
        <f t="shared" ref="O2371:O2434" si="43">90-P2371</f>
        <v>90</v>
      </c>
    </row>
    <row r="2372" spans="15:15" x14ac:dyDescent="0.25">
      <c r="O2372" s="84">
        <f t="shared" si="43"/>
        <v>90</v>
      </c>
    </row>
    <row r="2373" spans="15:15" x14ac:dyDescent="0.25">
      <c r="O2373" s="84">
        <f t="shared" si="43"/>
        <v>90</v>
      </c>
    </row>
    <row r="2374" spans="15:15" x14ac:dyDescent="0.25">
      <c r="O2374" s="84">
        <f t="shared" si="43"/>
        <v>90</v>
      </c>
    </row>
    <row r="2375" spans="15:15" x14ac:dyDescent="0.25">
      <c r="O2375" s="84">
        <f t="shared" si="43"/>
        <v>90</v>
      </c>
    </row>
    <row r="2376" spans="15:15" x14ac:dyDescent="0.25">
      <c r="O2376" s="84">
        <f t="shared" si="43"/>
        <v>90</v>
      </c>
    </row>
    <row r="2377" spans="15:15" x14ac:dyDescent="0.25">
      <c r="O2377" s="84">
        <f t="shared" si="43"/>
        <v>90</v>
      </c>
    </row>
    <row r="2378" spans="15:15" x14ac:dyDescent="0.25">
      <c r="O2378" s="84">
        <f t="shared" si="43"/>
        <v>90</v>
      </c>
    </row>
    <row r="2379" spans="15:15" x14ac:dyDescent="0.25">
      <c r="O2379" s="84">
        <f t="shared" si="43"/>
        <v>90</v>
      </c>
    </row>
    <row r="2380" spans="15:15" x14ac:dyDescent="0.25">
      <c r="O2380" s="84">
        <f t="shared" si="43"/>
        <v>90</v>
      </c>
    </row>
    <row r="2381" spans="15:15" x14ac:dyDescent="0.25">
      <c r="O2381" s="84">
        <f t="shared" si="43"/>
        <v>90</v>
      </c>
    </row>
    <row r="2382" spans="15:15" x14ac:dyDescent="0.25">
      <c r="O2382" s="84">
        <f t="shared" si="43"/>
        <v>90</v>
      </c>
    </row>
    <row r="2383" spans="15:15" x14ac:dyDescent="0.25">
      <c r="O2383" s="84">
        <f t="shared" si="43"/>
        <v>90</v>
      </c>
    </row>
    <row r="2384" spans="15:15" x14ac:dyDescent="0.25">
      <c r="O2384" s="84">
        <f t="shared" si="43"/>
        <v>90</v>
      </c>
    </row>
    <row r="2385" spans="15:15" x14ac:dyDescent="0.25">
      <c r="O2385" s="84">
        <f t="shared" si="43"/>
        <v>90</v>
      </c>
    </row>
    <row r="2386" spans="15:15" x14ac:dyDescent="0.25">
      <c r="O2386" s="84">
        <f t="shared" si="43"/>
        <v>90</v>
      </c>
    </row>
    <row r="2387" spans="15:15" x14ac:dyDescent="0.25">
      <c r="O2387" s="84">
        <f t="shared" si="43"/>
        <v>90</v>
      </c>
    </row>
    <row r="2388" spans="15:15" x14ac:dyDescent="0.25">
      <c r="O2388" s="84">
        <f t="shared" si="43"/>
        <v>90</v>
      </c>
    </row>
    <row r="2389" spans="15:15" x14ac:dyDescent="0.25">
      <c r="O2389" s="84">
        <f t="shared" si="43"/>
        <v>90</v>
      </c>
    </row>
    <row r="2390" spans="15:15" x14ac:dyDescent="0.25">
      <c r="O2390" s="84">
        <f t="shared" si="43"/>
        <v>90</v>
      </c>
    </row>
    <row r="2391" spans="15:15" x14ac:dyDescent="0.25">
      <c r="O2391" s="84">
        <f t="shared" si="43"/>
        <v>90</v>
      </c>
    </row>
    <row r="2392" spans="15:15" x14ac:dyDescent="0.25">
      <c r="O2392" s="84">
        <f t="shared" si="43"/>
        <v>90</v>
      </c>
    </row>
    <row r="2393" spans="15:15" x14ac:dyDescent="0.25">
      <c r="O2393" s="84">
        <f t="shared" si="43"/>
        <v>90</v>
      </c>
    </row>
    <row r="2394" spans="15:15" x14ac:dyDescent="0.25">
      <c r="O2394" s="84">
        <f t="shared" si="43"/>
        <v>90</v>
      </c>
    </row>
    <row r="2395" spans="15:15" x14ac:dyDescent="0.25">
      <c r="O2395" s="84">
        <f t="shared" si="43"/>
        <v>90</v>
      </c>
    </row>
    <row r="2396" spans="15:15" x14ac:dyDescent="0.25">
      <c r="O2396" s="84">
        <f t="shared" si="43"/>
        <v>90</v>
      </c>
    </row>
    <row r="2397" spans="15:15" x14ac:dyDescent="0.25">
      <c r="O2397" s="84">
        <f t="shared" si="43"/>
        <v>90</v>
      </c>
    </row>
    <row r="2398" spans="15:15" x14ac:dyDescent="0.25">
      <c r="O2398" s="84">
        <f t="shared" si="43"/>
        <v>90</v>
      </c>
    </row>
    <row r="2399" spans="15:15" x14ac:dyDescent="0.25">
      <c r="O2399" s="84">
        <f t="shared" si="43"/>
        <v>90</v>
      </c>
    </row>
    <row r="2400" spans="15:15" x14ac:dyDescent="0.25">
      <c r="O2400" s="84">
        <f t="shared" si="43"/>
        <v>90</v>
      </c>
    </row>
    <row r="2401" spans="15:15" x14ac:dyDescent="0.25">
      <c r="O2401" s="84">
        <f t="shared" si="43"/>
        <v>90</v>
      </c>
    </row>
    <row r="2402" spans="15:15" x14ac:dyDescent="0.25">
      <c r="O2402" s="84">
        <f t="shared" si="43"/>
        <v>90</v>
      </c>
    </row>
    <row r="2403" spans="15:15" x14ac:dyDescent="0.25">
      <c r="O2403" s="84">
        <f t="shared" si="43"/>
        <v>90</v>
      </c>
    </row>
    <row r="2404" spans="15:15" x14ac:dyDescent="0.25">
      <c r="O2404" s="84">
        <f t="shared" si="43"/>
        <v>90</v>
      </c>
    </row>
    <row r="2405" spans="15:15" x14ac:dyDescent="0.25">
      <c r="O2405" s="84">
        <f t="shared" si="43"/>
        <v>90</v>
      </c>
    </row>
    <row r="2406" spans="15:15" x14ac:dyDescent="0.25">
      <c r="O2406" s="84">
        <f t="shared" si="43"/>
        <v>90</v>
      </c>
    </row>
    <row r="2407" spans="15:15" x14ac:dyDescent="0.25">
      <c r="O2407" s="84">
        <f t="shared" si="43"/>
        <v>90</v>
      </c>
    </row>
    <row r="2408" spans="15:15" x14ac:dyDescent="0.25">
      <c r="O2408" s="84">
        <f t="shared" si="43"/>
        <v>90</v>
      </c>
    </row>
    <row r="2409" spans="15:15" x14ac:dyDescent="0.25">
      <c r="O2409" s="84">
        <f t="shared" si="43"/>
        <v>90</v>
      </c>
    </row>
    <row r="2410" spans="15:15" x14ac:dyDescent="0.25">
      <c r="O2410" s="84">
        <f t="shared" si="43"/>
        <v>90</v>
      </c>
    </row>
    <row r="2411" spans="15:15" x14ac:dyDescent="0.25">
      <c r="O2411" s="84">
        <f t="shared" si="43"/>
        <v>90</v>
      </c>
    </row>
    <row r="2412" spans="15:15" x14ac:dyDescent="0.25">
      <c r="O2412" s="84">
        <f t="shared" si="43"/>
        <v>90</v>
      </c>
    </row>
    <row r="2413" spans="15:15" x14ac:dyDescent="0.25">
      <c r="O2413" s="84">
        <f t="shared" si="43"/>
        <v>90</v>
      </c>
    </row>
    <row r="2414" spans="15:15" x14ac:dyDescent="0.25">
      <c r="O2414" s="84">
        <f t="shared" si="43"/>
        <v>90</v>
      </c>
    </row>
    <row r="2415" spans="15:15" x14ac:dyDescent="0.25">
      <c r="O2415" s="84">
        <f t="shared" si="43"/>
        <v>90</v>
      </c>
    </row>
    <row r="2416" spans="15:15" x14ac:dyDescent="0.25">
      <c r="O2416" s="84">
        <f t="shared" si="43"/>
        <v>90</v>
      </c>
    </row>
    <row r="2417" spans="15:15" x14ac:dyDescent="0.25">
      <c r="O2417" s="84">
        <f t="shared" si="43"/>
        <v>90</v>
      </c>
    </row>
    <row r="2418" spans="15:15" x14ac:dyDescent="0.25">
      <c r="O2418" s="84">
        <f t="shared" si="43"/>
        <v>90</v>
      </c>
    </row>
    <row r="2419" spans="15:15" x14ac:dyDescent="0.25">
      <c r="O2419" s="84">
        <f t="shared" si="43"/>
        <v>90</v>
      </c>
    </row>
    <row r="2420" spans="15:15" x14ac:dyDescent="0.25">
      <c r="O2420" s="84">
        <f t="shared" si="43"/>
        <v>90</v>
      </c>
    </row>
    <row r="2421" spans="15:15" x14ac:dyDescent="0.25">
      <c r="O2421" s="84">
        <f t="shared" si="43"/>
        <v>90</v>
      </c>
    </row>
    <row r="2422" spans="15:15" x14ac:dyDescent="0.25">
      <c r="O2422" s="84">
        <f t="shared" si="43"/>
        <v>90</v>
      </c>
    </row>
    <row r="2423" spans="15:15" x14ac:dyDescent="0.25">
      <c r="O2423" s="84">
        <f t="shared" si="43"/>
        <v>90</v>
      </c>
    </row>
    <row r="2424" spans="15:15" x14ac:dyDescent="0.25">
      <c r="O2424" s="84">
        <f t="shared" si="43"/>
        <v>90</v>
      </c>
    </row>
    <row r="2425" spans="15:15" x14ac:dyDescent="0.25">
      <c r="O2425" s="84">
        <f t="shared" si="43"/>
        <v>90</v>
      </c>
    </row>
    <row r="2426" spans="15:15" x14ac:dyDescent="0.25">
      <c r="O2426" s="84">
        <f t="shared" si="43"/>
        <v>90</v>
      </c>
    </row>
    <row r="2427" spans="15:15" x14ac:dyDescent="0.25">
      <c r="O2427" s="84">
        <f t="shared" si="43"/>
        <v>90</v>
      </c>
    </row>
    <row r="2428" spans="15:15" x14ac:dyDescent="0.25">
      <c r="O2428" s="84">
        <f t="shared" si="43"/>
        <v>90</v>
      </c>
    </row>
    <row r="2429" spans="15:15" x14ac:dyDescent="0.25">
      <c r="O2429" s="84">
        <f t="shared" si="43"/>
        <v>90</v>
      </c>
    </row>
    <row r="2430" spans="15:15" x14ac:dyDescent="0.25">
      <c r="O2430" s="84">
        <f t="shared" si="43"/>
        <v>90</v>
      </c>
    </row>
    <row r="2431" spans="15:15" x14ac:dyDescent="0.25">
      <c r="O2431" s="84">
        <f t="shared" si="43"/>
        <v>90</v>
      </c>
    </row>
    <row r="2432" spans="15:15" x14ac:dyDescent="0.25">
      <c r="O2432" s="84">
        <f t="shared" si="43"/>
        <v>90</v>
      </c>
    </row>
    <row r="2433" spans="15:15" x14ac:dyDescent="0.25">
      <c r="O2433" s="84">
        <f t="shared" si="43"/>
        <v>90</v>
      </c>
    </row>
    <row r="2434" spans="15:15" x14ac:dyDescent="0.25">
      <c r="O2434" s="84">
        <f t="shared" si="43"/>
        <v>90</v>
      </c>
    </row>
    <row r="2435" spans="15:15" x14ac:dyDescent="0.25">
      <c r="O2435" s="84">
        <f t="shared" ref="O2435:O2482" si="44">90-P2435</f>
        <v>90</v>
      </c>
    </row>
    <row r="2436" spans="15:15" x14ac:dyDescent="0.25">
      <c r="O2436" s="84">
        <f t="shared" si="44"/>
        <v>90</v>
      </c>
    </row>
    <row r="2437" spans="15:15" x14ac:dyDescent="0.25">
      <c r="O2437" s="84">
        <f t="shared" si="44"/>
        <v>90</v>
      </c>
    </row>
    <row r="2438" spans="15:15" x14ac:dyDescent="0.25">
      <c r="O2438" s="84">
        <f t="shared" si="44"/>
        <v>90</v>
      </c>
    </row>
    <row r="2439" spans="15:15" x14ac:dyDescent="0.25">
      <c r="O2439" s="84">
        <f t="shared" si="44"/>
        <v>90</v>
      </c>
    </row>
    <row r="2440" spans="15:15" x14ac:dyDescent="0.25">
      <c r="O2440" s="84">
        <f t="shared" si="44"/>
        <v>90</v>
      </c>
    </row>
    <row r="2441" spans="15:15" x14ac:dyDescent="0.25">
      <c r="O2441" s="84">
        <f t="shared" si="44"/>
        <v>90</v>
      </c>
    </row>
    <row r="2442" spans="15:15" x14ac:dyDescent="0.25">
      <c r="O2442" s="84">
        <f t="shared" si="44"/>
        <v>90</v>
      </c>
    </row>
    <row r="2443" spans="15:15" x14ac:dyDescent="0.25">
      <c r="O2443" s="84">
        <f t="shared" si="44"/>
        <v>90</v>
      </c>
    </row>
    <row r="2444" spans="15:15" x14ac:dyDescent="0.25">
      <c r="O2444" s="84">
        <f t="shared" si="44"/>
        <v>90</v>
      </c>
    </row>
    <row r="2445" spans="15:15" x14ac:dyDescent="0.25">
      <c r="O2445" s="84">
        <f t="shared" si="44"/>
        <v>90</v>
      </c>
    </row>
    <row r="2446" spans="15:15" x14ac:dyDescent="0.25">
      <c r="O2446" s="84">
        <f t="shared" si="44"/>
        <v>90</v>
      </c>
    </row>
    <row r="2447" spans="15:15" x14ac:dyDescent="0.25">
      <c r="O2447" s="84">
        <f t="shared" si="44"/>
        <v>90</v>
      </c>
    </row>
    <row r="2448" spans="15:15" x14ac:dyDescent="0.25">
      <c r="O2448" s="84">
        <f t="shared" si="44"/>
        <v>90</v>
      </c>
    </row>
    <row r="2449" spans="15:15" x14ac:dyDescent="0.25">
      <c r="O2449" s="84">
        <f t="shared" si="44"/>
        <v>90</v>
      </c>
    </row>
    <row r="2450" spans="15:15" x14ac:dyDescent="0.25">
      <c r="O2450" s="84">
        <f t="shared" si="44"/>
        <v>90</v>
      </c>
    </row>
    <row r="2451" spans="15:15" x14ac:dyDescent="0.25">
      <c r="O2451" s="84">
        <f t="shared" si="44"/>
        <v>90</v>
      </c>
    </row>
    <row r="2452" spans="15:15" x14ac:dyDescent="0.25">
      <c r="O2452" s="84">
        <f t="shared" si="44"/>
        <v>90</v>
      </c>
    </row>
    <row r="2453" spans="15:15" x14ac:dyDescent="0.25">
      <c r="O2453" s="84">
        <f t="shared" si="44"/>
        <v>90</v>
      </c>
    </row>
    <row r="2454" spans="15:15" x14ac:dyDescent="0.25">
      <c r="O2454" s="84">
        <f t="shared" si="44"/>
        <v>90</v>
      </c>
    </row>
    <row r="2455" spans="15:15" x14ac:dyDescent="0.25">
      <c r="O2455" s="84">
        <f t="shared" si="44"/>
        <v>90</v>
      </c>
    </row>
    <row r="2456" spans="15:15" x14ac:dyDescent="0.25">
      <c r="O2456" s="84">
        <f t="shared" si="44"/>
        <v>90</v>
      </c>
    </row>
    <row r="2457" spans="15:15" x14ac:dyDescent="0.25">
      <c r="O2457" s="84">
        <f t="shared" si="44"/>
        <v>90</v>
      </c>
    </row>
    <row r="2458" spans="15:15" x14ac:dyDescent="0.25">
      <c r="O2458" s="84">
        <f t="shared" si="44"/>
        <v>90</v>
      </c>
    </row>
    <row r="2459" spans="15:15" x14ac:dyDescent="0.25">
      <c r="O2459" s="84">
        <f t="shared" si="44"/>
        <v>90</v>
      </c>
    </row>
    <row r="2460" spans="15:15" x14ac:dyDescent="0.25">
      <c r="O2460" s="84">
        <f t="shared" si="44"/>
        <v>90</v>
      </c>
    </row>
    <row r="2461" spans="15:15" x14ac:dyDescent="0.25">
      <c r="O2461" s="84">
        <f t="shared" si="44"/>
        <v>90</v>
      </c>
    </row>
    <row r="2462" spans="15:15" x14ac:dyDescent="0.25">
      <c r="O2462" s="84">
        <f t="shared" si="44"/>
        <v>90</v>
      </c>
    </row>
    <row r="2463" spans="15:15" x14ac:dyDescent="0.25">
      <c r="O2463" s="84">
        <f t="shared" si="44"/>
        <v>90</v>
      </c>
    </row>
    <row r="2464" spans="15:15" x14ac:dyDescent="0.25">
      <c r="O2464" s="84">
        <f t="shared" si="44"/>
        <v>90</v>
      </c>
    </row>
    <row r="2465" spans="15:15" x14ac:dyDescent="0.25">
      <c r="O2465" s="84">
        <f t="shared" si="44"/>
        <v>90</v>
      </c>
    </row>
    <row r="2466" spans="15:15" x14ac:dyDescent="0.25">
      <c r="O2466" s="84">
        <f t="shared" si="44"/>
        <v>90</v>
      </c>
    </row>
    <row r="2467" spans="15:15" x14ac:dyDescent="0.25">
      <c r="O2467" s="84">
        <f t="shared" si="44"/>
        <v>90</v>
      </c>
    </row>
    <row r="2468" spans="15:15" x14ac:dyDescent="0.25">
      <c r="O2468" s="84">
        <f t="shared" si="44"/>
        <v>90</v>
      </c>
    </row>
    <row r="2469" spans="15:15" x14ac:dyDescent="0.25">
      <c r="O2469" s="84">
        <f t="shared" si="44"/>
        <v>90</v>
      </c>
    </row>
    <row r="2470" spans="15:15" x14ac:dyDescent="0.25">
      <c r="O2470" s="84">
        <f t="shared" si="44"/>
        <v>90</v>
      </c>
    </row>
    <row r="2471" spans="15:15" x14ac:dyDescent="0.25">
      <c r="O2471" s="84">
        <f t="shared" si="44"/>
        <v>90</v>
      </c>
    </row>
    <row r="2472" spans="15:15" x14ac:dyDescent="0.25">
      <c r="O2472" s="84">
        <f t="shared" si="44"/>
        <v>90</v>
      </c>
    </row>
    <row r="2473" spans="15:15" x14ac:dyDescent="0.25">
      <c r="O2473" s="84">
        <f t="shared" si="44"/>
        <v>90</v>
      </c>
    </row>
    <row r="2474" spans="15:15" x14ac:dyDescent="0.25">
      <c r="O2474" s="84">
        <f t="shared" si="44"/>
        <v>90</v>
      </c>
    </row>
    <row r="2475" spans="15:15" x14ac:dyDescent="0.25">
      <c r="O2475" s="84">
        <f t="shared" si="44"/>
        <v>90</v>
      </c>
    </row>
    <row r="2476" spans="15:15" x14ac:dyDescent="0.25">
      <c r="O2476" s="84">
        <f t="shared" si="44"/>
        <v>90</v>
      </c>
    </row>
    <row r="2477" spans="15:15" x14ac:dyDescent="0.25">
      <c r="O2477" s="84">
        <f t="shared" si="44"/>
        <v>90</v>
      </c>
    </row>
    <row r="2478" spans="15:15" x14ac:dyDescent="0.25">
      <c r="O2478" s="84">
        <f t="shared" si="44"/>
        <v>90</v>
      </c>
    </row>
    <row r="2479" spans="15:15" x14ac:dyDescent="0.25">
      <c r="O2479" s="84">
        <f t="shared" si="44"/>
        <v>90</v>
      </c>
    </row>
    <row r="2480" spans="15:15" x14ac:dyDescent="0.25">
      <c r="O2480" s="84">
        <f t="shared" si="44"/>
        <v>90</v>
      </c>
    </row>
    <row r="2481" spans="15:15" x14ac:dyDescent="0.25">
      <c r="O2481" s="84">
        <f t="shared" si="44"/>
        <v>90</v>
      </c>
    </row>
    <row r="2482" spans="15:15" x14ac:dyDescent="0.25">
      <c r="O2482" s="84">
        <f t="shared" si="44"/>
        <v>90</v>
      </c>
    </row>
  </sheetData>
  <mergeCells count="9">
    <mergeCell ref="K13:L13"/>
    <mergeCell ref="K6:L6"/>
    <mergeCell ref="X2:Y3"/>
    <mergeCell ref="J1:M3"/>
    <mergeCell ref="E2:F2"/>
    <mergeCell ref="E3:F3"/>
    <mergeCell ref="K5:L5"/>
    <mergeCell ref="K9:L9"/>
    <mergeCell ref="K12:L12"/>
  </mergeCells>
  <dataValidations count="8">
    <dataValidation type="decimal" allowBlank="1" showErrorMessage="1" errorTitle="CHYBA" error="Hodnota mimo rozsah. Zadejte kladné číslo v litrech." promptTitle="Objem mladiny" prompt="objem mladiny (chladné) včetně kalů před vířivou kádí. IBU se nejlépe vztahu právě na tento objem. V případě kdy objem mladiny i s kaly neznáte, zadejte objem mladiny v kvasné nádobě. Používejte vždy stejně pro udržení konzistence výsledků!" sqref="G2">
      <formula1>0</formula1>
      <formula2>5000</formula2>
    </dataValidation>
    <dataValidation type="decimal" allowBlank="1" showErrorMessage="1" errorTitle="CHYBA!" error="Zadejte kladné číslo v rozmezí 0 - 40 °P." promptTitle="Síla mladiny" prompt="Zadejte sílu mladiny (=EPM) ve stupních Plato. Pokud znáte pouze SG či hustotu, využijte konverzní tabulku níže pod tlačítkem výpočtu." sqref="G3">
      <formula1>0</formula1>
      <formula2>40</formula2>
    </dataValidation>
    <dataValidation type="decimal" allowBlank="1" showInputMessage="1" showErrorMessage="1" errorTitle="CHYBA!" error="Hodnota mimo rozsah. Zadejte hodnotu v rozmezí mezi 1,000 - 1,200." promptTitle="SG = hustota" prompt="Zadejte hustotu k převodu do Plato. Nutno zadat jako SG ve tvaru 1,XXX (např. 1,048). Hodnota musí ležet mezi 1,000 a 1,200." sqref="L18">
      <formula1>1</formula1>
      <formula2>1.2</formula2>
    </dataValidation>
    <dataValidation type="decimal" allowBlank="1" showInputMessage="1" showErrorMessage="1" errorTitle="CHYBA!" error="Hodnota mimo rozsah. Zadejte hodnotu mezi 0-40 °P." promptTitle="Plato pro převod" prompt="Zadejte hodnotu ve stupních Plato pro převod do SG. Rozmezí 0-40 °P." sqref="K19">
      <formula1>0</formula1>
      <formula2>40</formula2>
    </dataValidation>
    <dataValidation type="decimal" allowBlank="1" showErrorMessage="1" errorTitle="CHYBA!" error="Zadejte kladné číslo hmotnosti chmelu, nebo ponechte buňku prázdnou." promptTitle="Hmotnost chmelu" sqref="E6:E331">
      <formula1>0</formula1>
      <formula2>50000</formula2>
    </dataValidation>
    <dataValidation type="whole" allowBlank="1" showInputMessage="1" showErrorMessage="1" errorTitle="CHYBA!" error="Zadejte celé číslo časového bodu podle nápovědy." promptTitle="Čas události" prompt="Zadejte čas - CELÉ ČÍSLO. Pro FWH přidávejte k době chmelovaru. Pro Whirlpoolu a chlazení po chmelovaru využijte kladná čísla od nuly nahoru, nebo záporná čísla. Nekombinujte! Pragram rozpozná o co se jedná podle teploty sám." sqref="B6:B331">
      <formula1>-2000</formula1>
      <formula2>1000</formula2>
    </dataValidation>
    <dataValidation type="decimal" allowBlank="1" showErrorMessage="1" errorTitle="CHYBA!" error="Zadejte kladnou hodnotu teploty ve °C." promptTitle="Teplota - °C" prompt="Zadejte teplotu odpovídající tomuto kroku schématu ve °C. Program bude mezi jednotlivými bodu předpokládat lineární profil. Při rychlém ohřevu či chlazení se tedy snažte zadat více bodů, abyste dobře zachytili reálný průběh teploty." sqref="G6:G331">
      <formula1>0</formula1>
      <formula2>200</formula2>
    </dataValidation>
    <dataValidation type="list" allowBlank="1" showInputMessage="1" showErrorMessage="1" sqref="D6:D331">
      <formula1>"P,C"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tlacitko">
                <anchor moveWithCells="1" sizeWithCells="1">
                  <from>
                    <xdr:col>9</xdr:col>
                    <xdr:colOff>581025</xdr:colOff>
                    <xdr:row>20</xdr:row>
                    <xdr:rowOff>66675</xdr:rowOff>
                  </from>
                  <to>
                    <xdr:col>12</xdr:col>
                    <xdr:colOff>19050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hops!$B$2:$B$1000</xm:f>
          </x14:formula1>
          <xm:sqref>C6:C335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2"/>
  <dimension ref="A1:BN1028"/>
  <sheetViews>
    <sheetView workbookViewId="0">
      <selection activeCell="H7" sqref="H7"/>
    </sheetView>
  </sheetViews>
  <sheetFormatPr defaultRowHeight="15" x14ac:dyDescent="0.25"/>
  <cols>
    <col min="1" max="1" width="6" style="30" customWidth="1"/>
    <col min="2" max="2" width="27.85546875" style="1" customWidth="1"/>
    <col min="3" max="3" width="10.7109375" style="1" customWidth="1"/>
    <col min="4" max="66" width="9.140625" style="60"/>
  </cols>
  <sheetData>
    <row r="1" spans="1:3" ht="24" thickBot="1" x14ac:dyDescent="0.4">
      <c r="A1" s="61"/>
      <c r="B1" s="62" t="s">
        <v>90</v>
      </c>
      <c r="C1" s="63" t="s">
        <v>71</v>
      </c>
    </row>
    <row r="2" spans="1:3" x14ac:dyDescent="0.25">
      <c r="A2" s="31">
        <v>1</v>
      </c>
      <c r="B2" s="69" t="s">
        <v>11</v>
      </c>
      <c r="C2" s="70">
        <v>0</v>
      </c>
    </row>
    <row r="3" spans="1:3" x14ac:dyDescent="0.25">
      <c r="A3" s="32">
        <v>2</v>
      </c>
      <c r="B3" s="29" t="s">
        <v>12</v>
      </c>
      <c r="C3" s="28">
        <v>10</v>
      </c>
    </row>
    <row r="4" spans="1:3" x14ac:dyDescent="0.25">
      <c r="A4" s="32">
        <v>3</v>
      </c>
      <c r="B4" s="29" t="s">
        <v>13</v>
      </c>
      <c r="C4" s="28">
        <v>6</v>
      </c>
    </row>
    <row r="5" spans="1:3" x14ac:dyDescent="0.25">
      <c r="A5" s="32">
        <v>4</v>
      </c>
      <c r="B5" s="29" t="s">
        <v>14</v>
      </c>
      <c r="C5" s="28">
        <v>9.5</v>
      </c>
    </row>
    <row r="6" spans="1:3" x14ac:dyDescent="0.25">
      <c r="A6" s="32">
        <v>5</v>
      </c>
      <c r="B6" s="29" t="s">
        <v>15</v>
      </c>
      <c r="C6" s="28">
        <v>7.5</v>
      </c>
    </row>
    <row r="7" spans="1:3" x14ac:dyDescent="0.25">
      <c r="A7" s="32">
        <v>6</v>
      </c>
      <c r="B7" s="29" t="s">
        <v>16</v>
      </c>
      <c r="C7" s="28">
        <v>6.5</v>
      </c>
    </row>
    <row r="8" spans="1:3" x14ac:dyDescent="0.25">
      <c r="A8" s="32">
        <v>7</v>
      </c>
      <c r="B8" s="29" t="s">
        <v>17</v>
      </c>
      <c r="C8" s="28">
        <v>15</v>
      </c>
    </row>
    <row r="9" spans="1:3" x14ac:dyDescent="0.25">
      <c r="A9" s="32">
        <v>8</v>
      </c>
      <c r="B9" s="29" t="s">
        <v>18</v>
      </c>
      <c r="C9" s="28">
        <v>9</v>
      </c>
    </row>
    <row r="10" spans="1:3" x14ac:dyDescent="0.25">
      <c r="A10" s="32">
        <v>9</v>
      </c>
      <c r="B10" s="29" t="s">
        <v>19</v>
      </c>
      <c r="C10" s="28">
        <v>5.75</v>
      </c>
    </row>
    <row r="11" spans="1:3" x14ac:dyDescent="0.25">
      <c r="A11" s="32">
        <v>10</v>
      </c>
      <c r="B11" s="29" t="s">
        <v>20</v>
      </c>
      <c r="C11" s="28">
        <v>10.5</v>
      </c>
    </row>
    <row r="12" spans="1:3" x14ac:dyDescent="0.25">
      <c r="A12" s="32">
        <v>11</v>
      </c>
      <c r="B12" s="29" t="s">
        <v>21</v>
      </c>
      <c r="C12" s="28">
        <v>11.5</v>
      </c>
    </row>
    <row r="13" spans="1:3" x14ac:dyDescent="0.25">
      <c r="A13" s="32">
        <v>12</v>
      </c>
      <c r="B13" s="29" t="s">
        <v>22</v>
      </c>
      <c r="C13" s="28">
        <v>14.499999999999998</v>
      </c>
    </row>
    <row r="14" spans="1:3" x14ac:dyDescent="0.25">
      <c r="A14" s="32">
        <v>13</v>
      </c>
      <c r="B14" s="29" t="s">
        <v>23</v>
      </c>
      <c r="C14" s="28">
        <v>5</v>
      </c>
    </row>
    <row r="15" spans="1:3" x14ac:dyDescent="0.25">
      <c r="A15" s="32">
        <v>14</v>
      </c>
      <c r="B15" s="29" t="s">
        <v>24</v>
      </c>
      <c r="C15" s="28">
        <v>15</v>
      </c>
    </row>
    <row r="16" spans="1:3" x14ac:dyDescent="0.25">
      <c r="A16" s="32">
        <v>15</v>
      </c>
      <c r="B16" s="29" t="s">
        <v>25</v>
      </c>
      <c r="C16" s="28">
        <v>15</v>
      </c>
    </row>
    <row r="17" spans="1:3" x14ac:dyDescent="0.25">
      <c r="A17" s="32">
        <v>16</v>
      </c>
      <c r="B17" s="29" t="s">
        <v>26</v>
      </c>
      <c r="C17" s="28">
        <v>4.5</v>
      </c>
    </row>
    <row r="18" spans="1:3" x14ac:dyDescent="0.25">
      <c r="A18" s="32">
        <v>17</v>
      </c>
      <c r="B18" s="29" t="s">
        <v>27</v>
      </c>
      <c r="C18" s="28">
        <v>13.5</v>
      </c>
    </row>
    <row r="19" spans="1:3" x14ac:dyDescent="0.25">
      <c r="A19" s="32">
        <v>18</v>
      </c>
      <c r="B19" s="29" t="s">
        <v>28</v>
      </c>
      <c r="C19" s="28">
        <v>12</v>
      </c>
    </row>
    <row r="20" spans="1:3" x14ac:dyDescent="0.25">
      <c r="A20" s="32">
        <v>19</v>
      </c>
      <c r="B20" s="29" t="s">
        <v>29</v>
      </c>
      <c r="C20" s="28">
        <v>5</v>
      </c>
    </row>
    <row r="21" spans="1:3" x14ac:dyDescent="0.25">
      <c r="A21" s="32">
        <v>20</v>
      </c>
      <c r="B21" s="29" t="s">
        <v>30</v>
      </c>
      <c r="C21" s="28">
        <v>11.5</v>
      </c>
    </row>
    <row r="22" spans="1:3" x14ac:dyDescent="0.25">
      <c r="A22" s="32">
        <v>21</v>
      </c>
      <c r="B22" s="64" t="s">
        <v>31</v>
      </c>
      <c r="C22" s="28">
        <v>4</v>
      </c>
    </row>
    <row r="23" spans="1:3" x14ac:dyDescent="0.25">
      <c r="A23" s="32">
        <v>22</v>
      </c>
      <c r="B23" s="29" t="s">
        <v>32</v>
      </c>
      <c r="C23" s="28">
        <v>6.5</v>
      </c>
    </row>
    <row r="24" spans="1:3" x14ac:dyDescent="0.25">
      <c r="A24" s="32">
        <v>23</v>
      </c>
      <c r="B24" s="29" t="s">
        <v>33</v>
      </c>
      <c r="C24" s="28">
        <v>12.5</v>
      </c>
    </row>
    <row r="25" spans="1:3" x14ac:dyDescent="0.25">
      <c r="A25" s="32">
        <v>24</v>
      </c>
      <c r="B25" s="29" t="s">
        <v>34</v>
      </c>
      <c r="C25" s="28">
        <v>14.499999999999998</v>
      </c>
    </row>
    <row r="26" spans="1:3" x14ac:dyDescent="0.25">
      <c r="A26" s="32">
        <v>25</v>
      </c>
      <c r="B26" s="29" t="s">
        <v>35</v>
      </c>
      <c r="C26" s="28">
        <v>5.6000000000000005</v>
      </c>
    </row>
    <row r="27" spans="1:3" x14ac:dyDescent="0.25">
      <c r="A27" s="32">
        <v>26</v>
      </c>
      <c r="B27" s="29" t="s">
        <v>36</v>
      </c>
      <c r="C27" s="28">
        <v>13</v>
      </c>
    </row>
    <row r="28" spans="1:3" x14ac:dyDescent="0.25">
      <c r="A28" s="32">
        <v>27</v>
      </c>
      <c r="B28" s="29" t="s">
        <v>37</v>
      </c>
      <c r="C28" s="28">
        <v>6.5</v>
      </c>
    </row>
    <row r="29" spans="1:3" x14ac:dyDescent="0.25">
      <c r="A29" s="32">
        <v>28</v>
      </c>
      <c r="B29" s="29" t="s">
        <v>38</v>
      </c>
      <c r="C29" s="28">
        <v>11.5</v>
      </c>
    </row>
    <row r="30" spans="1:3" x14ac:dyDescent="0.25">
      <c r="A30" s="32">
        <v>29</v>
      </c>
      <c r="B30" s="29" t="s">
        <v>39</v>
      </c>
      <c r="C30" s="28">
        <v>8.5</v>
      </c>
    </row>
    <row r="31" spans="1:3" x14ac:dyDescent="0.25">
      <c r="A31" s="32">
        <v>30</v>
      </c>
      <c r="B31" s="29" t="s">
        <v>40</v>
      </c>
      <c r="C31" s="28">
        <v>7.0000000000000009</v>
      </c>
    </row>
    <row r="32" spans="1:3" x14ac:dyDescent="0.25">
      <c r="A32" s="32">
        <v>31</v>
      </c>
      <c r="B32" s="29" t="s">
        <v>41</v>
      </c>
      <c r="C32" s="28">
        <v>12.5</v>
      </c>
    </row>
    <row r="33" spans="1:3" x14ac:dyDescent="0.25">
      <c r="A33" s="32">
        <v>32</v>
      </c>
      <c r="B33" s="29" t="s">
        <v>42</v>
      </c>
      <c r="C33" s="28">
        <v>7.5</v>
      </c>
    </row>
    <row r="34" spans="1:3" x14ac:dyDescent="0.25">
      <c r="A34" s="32">
        <v>33</v>
      </c>
      <c r="B34" s="29" t="s">
        <v>43</v>
      </c>
      <c r="C34" s="28">
        <v>12.5</v>
      </c>
    </row>
    <row r="35" spans="1:3" x14ac:dyDescent="0.25">
      <c r="A35" s="32">
        <v>34</v>
      </c>
      <c r="B35" s="29" t="s">
        <v>44</v>
      </c>
      <c r="C35" s="28">
        <v>8.5</v>
      </c>
    </row>
    <row r="36" spans="1:3" x14ac:dyDescent="0.25">
      <c r="A36" s="32">
        <v>35</v>
      </c>
      <c r="B36" s="29" t="s">
        <v>45</v>
      </c>
      <c r="C36" s="28">
        <v>13</v>
      </c>
    </row>
    <row r="37" spans="1:3" x14ac:dyDescent="0.25">
      <c r="A37" s="32">
        <v>36</v>
      </c>
      <c r="B37" s="29" t="s">
        <v>46</v>
      </c>
      <c r="C37" s="28">
        <v>14.000000000000002</v>
      </c>
    </row>
    <row r="38" spans="1:3" x14ac:dyDescent="0.25">
      <c r="A38" s="32">
        <v>37</v>
      </c>
      <c r="B38" s="29" t="s">
        <v>47</v>
      </c>
      <c r="C38" s="28">
        <v>7.0000000000000009</v>
      </c>
    </row>
    <row r="39" spans="1:3" x14ac:dyDescent="0.25">
      <c r="A39" s="32">
        <v>38</v>
      </c>
      <c r="B39" s="29" t="s">
        <v>48</v>
      </c>
      <c r="C39" s="28">
        <v>7.1999999999999993</v>
      </c>
    </row>
    <row r="40" spans="1:3" x14ac:dyDescent="0.25">
      <c r="A40" s="32">
        <v>39</v>
      </c>
      <c r="B40" s="29" t="s">
        <v>49</v>
      </c>
      <c r="C40" s="28">
        <v>10.7</v>
      </c>
    </row>
    <row r="41" spans="1:3" x14ac:dyDescent="0.25">
      <c r="A41" s="32">
        <v>40</v>
      </c>
      <c r="B41" s="29" t="s">
        <v>50</v>
      </c>
      <c r="C41" s="28">
        <v>4.75</v>
      </c>
    </row>
    <row r="42" spans="1:3" x14ac:dyDescent="0.25">
      <c r="A42" s="32">
        <v>41</v>
      </c>
      <c r="B42" s="29" t="s">
        <v>51</v>
      </c>
      <c r="C42" s="28">
        <v>3.5000000000000004</v>
      </c>
    </row>
    <row r="43" spans="1:3" x14ac:dyDescent="0.25">
      <c r="A43" s="32">
        <v>42</v>
      </c>
      <c r="B43" s="29" t="s">
        <v>52</v>
      </c>
      <c r="C43" s="28">
        <v>13</v>
      </c>
    </row>
    <row r="44" spans="1:3" x14ac:dyDescent="0.25">
      <c r="A44" s="32">
        <v>43</v>
      </c>
      <c r="B44" s="29" t="s">
        <v>53</v>
      </c>
      <c r="C44" s="28">
        <v>5.5</v>
      </c>
    </row>
    <row r="45" spans="1:3" x14ac:dyDescent="0.25">
      <c r="A45" s="32">
        <v>44</v>
      </c>
      <c r="B45" s="29" t="s">
        <v>54</v>
      </c>
      <c r="C45" s="28">
        <v>13</v>
      </c>
    </row>
    <row r="46" spans="1:3" x14ac:dyDescent="0.25">
      <c r="A46" s="32">
        <v>45</v>
      </c>
      <c r="B46" s="29" t="s">
        <v>55</v>
      </c>
      <c r="C46" s="28">
        <v>5</v>
      </c>
    </row>
    <row r="47" spans="1:3" x14ac:dyDescent="0.25">
      <c r="A47" s="32">
        <v>46</v>
      </c>
      <c r="B47" s="29" t="s">
        <v>56</v>
      </c>
      <c r="C47" s="28">
        <v>16.5</v>
      </c>
    </row>
    <row r="48" spans="1:3" x14ac:dyDescent="0.25">
      <c r="A48" s="32">
        <v>47</v>
      </c>
      <c r="B48" s="29" t="s">
        <v>57</v>
      </c>
      <c r="C48" s="28">
        <v>10</v>
      </c>
    </row>
    <row r="49" spans="1:3" x14ac:dyDescent="0.25">
      <c r="A49" s="32">
        <v>48</v>
      </c>
      <c r="B49" s="29" t="s">
        <v>58</v>
      </c>
      <c r="C49" s="28">
        <v>4</v>
      </c>
    </row>
    <row r="50" spans="1:3" x14ac:dyDescent="0.25">
      <c r="A50" s="32">
        <v>49</v>
      </c>
      <c r="B50" s="29" t="s">
        <v>59</v>
      </c>
      <c r="C50" s="28">
        <v>16</v>
      </c>
    </row>
    <row r="51" spans="1:3" x14ac:dyDescent="0.25">
      <c r="A51" s="32">
        <v>50</v>
      </c>
      <c r="B51" s="29" t="s">
        <v>60</v>
      </c>
      <c r="C51" s="28">
        <v>4.5</v>
      </c>
    </row>
    <row r="52" spans="1:3" x14ac:dyDescent="0.25">
      <c r="A52" s="32">
        <v>51</v>
      </c>
      <c r="B52" s="29" t="s">
        <v>61</v>
      </c>
      <c r="C52" s="28">
        <v>3.2</v>
      </c>
    </row>
    <row r="53" spans="1:3" x14ac:dyDescent="0.25">
      <c r="A53" s="32">
        <v>52</v>
      </c>
      <c r="B53" s="65" t="s">
        <v>62</v>
      </c>
      <c r="C53" s="28">
        <v>7.5</v>
      </c>
    </row>
    <row r="54" spans="1:3" x14ac:dyDescent="0.25">
      <c r="A54" s="32">
        <v>53</v>
      </c>
      <c r="B54" s="65" t="s">
        <v>63</v>
      </c>
      <c r="C54" s="28">
        <v>5.5</v>
      </c>
    </row>
    <row r="55" spans="1:3" x14ac:dyDescent="0.25">
      <c r="A55" s="32">
        <v>54</v>
      </c>
      <c r="B55" s="65" t="s">
        <v>64</v>
      </c>
      <c r="C55" s="28">
        <v>13.5</v>
      </c>
    </row>
    <row r="56" spans="1:3" x14ac:dyDescent="0.25">
      <c r="A56" s="32">
        <v>55</v>
      </c>
      <c r="B56" s="65" t="s">
        <v>65</v>
      </c>
      <c r="C56" s="28">
        <v>5</v>
      </c>
    </row>
    <row r="57" spans="1:3" x14ac:dyDescent="0.25">
      <c r="A57" s="32">
        <v>56</v>
      </c>
      <c r="B57" s="66" t="s">
        <v>34</v>
      </c>
      <c r="C57" s="28">
        <v>14.499999999999998</v>
      </c>
    </row>
    <row r="58" spans="1:3" x14ac:dyDescent="0.25">
      <c r="A58" s="32">
        <v>57</v>
      </c>
      <c r="B58" s="65" t="s">
        <v>66</v>
      </c>
      <c r="C58" s="28">
        <v>4.5</v>
      </c>
    </row>
    <row r="59" spans="1:3" x14ac:dyDescent="0.25">
      <c r="A59" s="32">
        <v>58</v>
      </c>
      <c r="B59" s="65" t="s">
        <v>67</v>
      </c>
      <c r="C59" s="28">
        <v>5.2</v>
      </c>
    </row>
    <row r="60" spans="1:3" x14ac:dyDescent="0.25">
      <c r="A60" s="32">
        <v>59</v>
      </c>
      <c r="B60" s="65" t="s">
        <v>68</v>
      </c>
      <c r="C60" s="28">
        <v>9.5</v>
      </c>
    </row>
    <row r="61" spans="1:3" x14ac:dyDescent="0.25">
      <c r="A61" s="32">
        <v>60</v>
      </c>
      <c r="B61" s="65" t="s">
        <v>69</v>
      </c>
      <c r="C61" s="28">
        <v>4</v>
      </c>
    </row>
    <row r="62" spans="1:3" x14ac:dyDescent="0.25">
      <c r="A62" s="32">
        <v>61</v>
      </c>
      <c r="B62" s="65" t="s">
        <v>70</v>
      </c>
      <c r="C62" s="28">
        <v>5.2</v>
      </c>
    </row>
    <row r="63" spans="1:3" x14ac:dyDescent="0.25">
      <c r="A63" s="32">
        <v>62</v>
      </c>
      <c r="B63" s="67" t="s">
        <v>74</v>
      </c>
      <c r="C63" s="51">
        <v>10</v>
      </c>
    </row>
    <row r="64" spans="1:3" x14ac:dyDescent="0.25">
      <c r="A64" s="32">
        <v>63</v>
      </c>
      <c r="B64" s="67" t="s">
        <v>75</v>
      </c>
      <c r="C64" s="51">
        <v>8</v>
      </c>
    </row>
    <row r="65" spans="1:3" x14ac:dyDescent="0.25">
      <c r="A65" s="32">
        <v>64</v>
      </c>
      <c r="B65" s="67" t="s">
        <v>76</v>
      </c>
      <c r="C65" s="51">
        <v>12</v>
      </c>
    </row>
    <row r="66" spans="1:3" x14ac:dyDescent="0.25">
      <c r="A66" s="32">
        <v>65</v>
      </c>
      <c r="B66" s="67" t="s">
        <v>77</v>
      </c>
      <c r="C66" s="51">
        <v>11</v>
      </c>
    </row>
    <row r="67" spans="1:3" x14ac:dyDescent="0.25">
      <c r="A67" s="32">
        <v>66</v>
      </c>
      <c r="B67" s="67"/>
      <c r="C67" s="51"/>
    </row>
    <row r="68" spans="1:3" x14ac:dyDescent="0.25">
      <c r="A68" s="32">
        <v>67</v>
      </c>
      <c r="B68" s="67"/>
      <c r="C68" s="51"/>
    </row>
    <row r="69" spans="1:3" x14ac:dyDescent="0.25">
      <c r="A69" s="32">
        <v>68</v>
      </c>
      <c r="B69" s="67"/>
      <c r="C69" s="51"/>
    </row>
    <row r="70" spans="1:3" x14ac:dyDescent="0.25">
      <c r="A70" s="32">
        <v>69</v>
      </c>
      <c r="B70" s="67"/>
      <c r="C70" s="51"/>
    </row>
    <row r="71" spans="1:3" x14ac:dyDescent="0.25">
      <c r="A71" s="32">
        <v>70</v>
      </c>
      <c r="B71" s="67"/>
      <c r="C71" s="51"/>
    </row>
    <row r="72" spans="1:3" x14ac:dyDescent="0.25">
      <c r="A72" s="32">
        <v>71</v>
      </c>
      <c r="B72" s="67"/>
      <c r="C72" s="51"/>
    </row>
    <row r="73" spans="1:3" x14ac:dyDescent="0.25">
      <c r="A73" s="32">
        <v>72</v>
      </c>
      <c r="B73" s="67"/>
      <c r="C73" s="51"/>
    </row>
    <row r="74" spans="1:3" x14ac:dyDescent="0.25">
      <c r="A74" s="32">
        <v>73</v>
      </c>
      <c r="B74" s="67"/>
      <c r="C74" s="51"/>
    </row>
    <row r="75" spans="1:3" x14ac:dyDescent="0.25">
      <c r="A75" s="32">
        <v>74</v>
      </c>
      <c r="B75" s="67"/>
      <c r="C75" s="51"/>
    </row>
    <row r="76" spans="1:3" x14ac:dyDescent="0.25">
      <c r="A76" s="32">
        <v>75</v>
      </c>
      <c r="B76" s="67"/>
      <c r="C76" s="51"/>
    </row>
    <row r="77" spans="1:3" x14ac:dyDescent="0.25">
      <c r="A77" s="32">
        <v>76</v>
      </c>
      <c r="B77" s="67"/>
      <c r="C77" s="51"/>
    </row>
    <row r="78" spans="1:3" x14ac:dyDescent="0.25">
      <c r="A78" s="32">
        <v>77</v>
      </c>
      <c r="B78" s="67"/>
      <c r="C78" s="51"/>
    </row>
    <row r="79" spans="1:3" x14ac:dyDescent="0.25">
      <c r="A79" s="32">
        <v>78</v>
      </c>
      <c r="B79" s="67"/>
      <c r="C79" s="51"/>
    </row>
    <row r="80" spans="1:3" x14ac:dyDescent="0.25">
      <c r="A80" s="32">
        <v>79</v>
      </c>
      <c r="B80" s="67"/>
      <c r="C80" s="51"/>
    </row>
    <row r="81" spans="1:3" x14ac:dyDescent="0.25">
      <c r="A81" s="32">
        <v>80</v>
      </c>
      <c r="B81" s="67"/>
      <c r="C81" s="51"/>
    </row>
    <row r="82" spans="1:3" x14ac:dyDescent="0.25">
      <c r="A82" s="32">
        <v>81</v>
      </c>
      <c r="B82" s="67"/>
      <c r="C82" s="51"/>
    </row>
    <row r="83" spans="1:3" x14ac:dyDescent="0.25">
      <c r="A83" s="32">
        <v>82</v>
      </c>
      <c r="B83" s="67"/>
      <c r="C83" s="51"/>
    </row>
    <row r="84" spans="1:3" x14ac:dyDescent="0.25">
      <c r="A84" s="32">
        <v>83</v>
      </c>
      <c r="B84" s="67"/>
      <c r="C84" s="51"/>
    </row>
    <row r="85" spans="1:3" x14ac:dyDescent="0.25">
      <c r="A85" s="32">
        <v>84</v>
      </c>
      <c r="B85" s="67"/>
      <c r="C85" s="51"/>
    </row>
    <row r="86" spans="1:3" x14ac:dyDescent="0.25">
      <c r="A86" s="32">
        <v>85</v>
      </c>
      <c r="B86" s="67"/>
      <c r="C86" s="51"/>
    </row>
    <row r="87" spans="1:3" x14ac:dyDescent="0.25">
      <c r="A87" s="32">
        <v>86</v>
      </c>
      <c r="B87" s="67"/>
      <c r="C87" s="51"/>
    </row>
    <row r="88" spans="1:3" x14ac:dyDescent="0.25">
      <c r="A88" s="32">
        <v>87</v>
      </c>
      <c r="B88" s="67"/>
      <c r="C88" s="51"/>
    </row>
    <row r="89" spans="1:3" x14ac:dyDescent="0.25">
      <c r="A89" s="32">
        <v>88</v>
      </c>
      <c r="B89" s="67"/>
      <c r="C89" s="51"/>
    </row>
    <row r="90" spans="1:3" x14ac:dyDescent="0.25">
      <c r="A90" s="32">
        <v>89</v>
      </c>
      <c r="B90" s="67"/>
      <c r="C90" s="51"/>
    </row>
    <row r="91" spans="1:3" x14ac:dyDescent="0.25">
      <c r="A91" s="32">
        <v>90</v>
      </c>
      <c r="B91" s="67"/>
      <c r="C91" s="51"/>
    </row>
    <row r="92" spans="1:3" x14ac:dyDescent="0.25">
      <c r="A92" s="32">
        <v>91</v>
      </c>
      <c r="B92" s="67"/>
      <c r="C92" s="51"/>
    </row>
    <row r="93" spans="1:3" x14ac:dyDescent="0.25">
      <c r="A93" s="32">
        <v>92</v>
      </c>
      <c r="B93" s="67"/>
      <c r="C93" s="51"/>
    </row>
    <row r="94" spans="1:3" x14ac:dyDescent="0.25">
      <c r="A94" s="32">
        <v>93</v>
      </c>
      <c r="B94" s="67"/>
      <c r="C94" s="51"/>
    </row>
    <row r="95" spans="1:3" x14ac:dyDescent="0.25">
      <c r="A95" s="32">
        <v>94</v>
      </c>
      <c r="B95" s="67"/>
      <c r="C95" s="51"/>
    </row>
    <row r="96" spans="1:3" x14ac:dyDescent="0.25">
      <c r="A96" s="32">
        <v>95</v>
      </c>
      <c r="B96" s="67"/>
      <c r="C96" s="51"/>
    </row>
    <row r="97" spans="1:3" x14ac:dyDescent="0.25">
      <c r="A97" s="32">
        <v>96</v>
      </c>
      <c r="B97" s="67"/>
      <c r="C97" s="51"/>
    </row>
    <row r="98" spans="1:3" x14ac:dyDescent="0.25">
      <c r="A98" s="32">
        <v>97</v>
      </c>
      <c r="B98" s="67"/>
      <c r="C98" s="51"/>
    </row>
    <row r="99" spans="1:3" x14ac:dyDescent="0.25">
      <c r="A99" s="32">
        <v>98</v>
      </c>
      <c r="B99" s="67"/>
      <c r="C99" s="51"/>
    </row>
    <row r="100" spans="1:3" x14ac:dyDescent="0.25">
      <c r="A100" s="32">
        <v>99</v>
      </c>
      <c r="B100" s="67"/>
      <c r="C100" s="51"/>
    </row>
    <row r="101" spans="1:3" x14ac:dyDescent="0.25">
      <c r="A101" s="32">
        <v>100</v>
      </c>
      <c r="B101" s="67"/>
      <c r="C101" s="51"/>
    </row>
    <row r="102" spans="1:3" x14ac:dyDescent="0.25">
      <c r="A102" s="32">
        <v>101</v>
      </c>
      <c r="B102" s="67"/>
      <c r="C102" s="51"/>
    </row>
    <row r="103" spans="1:3" x14ac:dyDescent="0.25">
      <c r="A103" s="32">
        <v>102</v>
      </c>
      <c r="B103" s="67"/>
      <c r="C103" s="51"/>
    </row>
    <row r="104" spans="1:3" x14ac:dyDescent="0.25">
      <c r="A104" s="32">
        <v>103</v>
      </c>
      <c r="B104" s="67"/>
      <c r="C104" s="51"/>
    </row>
    <row r="105" spans="1:3" x14ac:dyDescent="0.25">
      <c r="A105" s="32">
        <v>104</v>
      </c>
      <c r="B105" s="67"/>
      <c r="C105" s="51"/>
    </row>
    <row r="106" spans="1:3" x14ac:dyDescent="0.25">
      <c r="A106" s="32">
        <v>105</v>
      </c>
      <c r="B106" s="67"/>
      <c r="C106" s="51"/>
    </row>
    <row r="107" spans="1:3" x14ac:dyDescent="0.25">
      <c r="A107" s="32">
        <v>106</v>
      </c>
      <c r="B107" s="67"/>
      <c r="C107" s="51"/>
    </row>
    <row r="108" spans="1:3" x14ac:dyDescent="0.25">
      <c r="A108" s="32">
        <v>107</v>
      </c>
      <c r="B108" s="67"/>
      <c r="C108" s="51"/>
    </row>
    <row r="109" spans="1:3" x14ac:dyDescent="0.25">
      <c r="A109" s="32">
        <v>108</v>
      </c>
      <c r="B109" s="67"/>
      <c r="C109" s="51"/>
    </row>
    <row r="110" spans="1:3" x14ac:dyDescent="0.25">
      <c r="A110" s="32">
        <v>109</v>
      </c>
      <c r="B110" s="67"/>
      <c r="C110" s="51"/>
    </row>
    <row r="111" spans="1:3" x14ac:dyDescent="0.25">
      <c r="A111" s="32">
        <v>110</v>
      </c>
      <c r="B111" s="67"/>
      <c r="C111" s="51"/>
    </row>
    <row r="112" spans="1:3" x14ac:dyDescent="0.25">
      <c r="A112" s="32">
        <v>111</v>
      </c>
      <c r="B112" s="67"/>
      <c r="C112" s="51"/>
    </row>
    <row r="113" spans="1:3" x14ac:dyDescent="0.25">
      <c r="A113" s="32">
        <v>112</v>
      </c>
      <c r="B113" s="67"/>
      <c r="C113" s="51"/>
    </row>
    <row r="114" spans="1:3" x14ac:dyDescent="0.25">
      <c r="A114" s="32">
        <v>113</v>
      </c>
      <c r="B114" s="67"/>
      <c r="C114" s="51"/>
    </row>
    <row r="115" spans="1:3" x14ac:dyDescent="0.25">
      <c r="A115" s="32">
        <v>114</v>
      </c>
      <c r="B115" s="67"/>
      <c r="C115" s="51"/>
    </row>
    <row r="116" spans="1:3" x14ac:dyDescent="0.25">
      <c r="A116" s="32">
        <v>115</v>
      </c>
      <c r="B116" s="67"/>
      <c r="C116" s="51"/>
    </row>
    <row r="117" spans="1:3" x14ac:dyDescent="0.25">
      <c r="A117" s="32">
        <v>116</v>
      </c>
      <c r="B117" s="67"/>
      <c r="C117" s="51"/>
    </row>
    <row r="118" spans="1:3" x14ac:dyDescent="0.25">
      <c r="A118" s="32">
        <v>117</v>
      </c>
      <c r="B118" s="67"/>
      <c r="C118" s="51"/>
    </row>
    <row r="119" spans="1:3" x14ac:dyDescent="0.25">
      <c r="A119" s="32">
        <v>118</v>
      </c>
      <c r="B119" s="67"/>
      <c r="C119" s="51"/>
    </row>
    <row r="120" spans="1:3" x14ac:dyDescent="0.25">
      <c r="A120" s="32">
        <v>119</v>
      </c>
      <c r="B120" s="67"/>
      <c r="C120" s="51"/>
    </row>
    <row r="121" spans="1:3" x14ac:dyDescent="0.25">
      <c r="A121" s="32">
        <v>120</v>
      </c>
      <c r="B121" s="67"/>
      <c r="C121" s="51"/>
    </row>
    <row r="122" spans="1:3" x14ac:dyDescent="0.25">
      <c r="A122" s="32">
        <v>121</v>
      </c>
      <c r="B122" s="67"/>
      <c r="C122" s="51"/>
    </row>
    <row r="123" spans="1:3" x14ac:dyDescent="0.25">
      <c r="A123" s="32">
        <v>122</v>
      </c>
      <c r="B123" s="67"/>
      <c r="C123" s="51"/>
    </row>
    <row r="124" spans="1:3" x14ac:dyDescent="0.25">
      <c r="A124" s="32">
        <v>123</v>
      </c>
      <c r="B124" s="67"/>
      <c r="C124" s="51"/>
    </row>
    <row r="125" spans="1:3" x14ac:dyDescent="0.25">
      <c r="A125" s="32">
        <v>124</v>
      </c>
      <c r="B125" s="67"/>
      <c r="C125" s="51"/>
    </row>
    <row r="126" spans="1:3" x14ac:dyDescent="0.25">
      <c r="A126" s="32">
        <v>125</v>
      </c>
      <c r="B126" s="67"/>
      <c r="C126" s="51"/>
    </row>
    <row r="127" spans="1:3" x14ac:dyDescent="0.25">
      <c r="A127" s="32">
        <v>126</v>
      </c>
      <c r="B127" s="67"/>
      <c r="C127" s="51"/>
    </row>
    <row r="128" spans="1:3" x14ac:dyDescent="0.25">
      <c r="A128" s="32">
        <v>127</v>
      </c>
      <c r="B128" s="67"/>
      <c r="C128" s="51"/>
    </row>
    <row r="129" spans="1:3" x14ac:dyDescent="0.25">
      <c r="A129" s="32">
        <v>128</v>
      </c>
      <c r="B129" s="67"/>
      <c r="C129" s="51"/>
    </row>
    <row r="130" spans="1:3" x14ac:dyDescent="0.25">
      <c r="A130" s="32">
        <v>129</v>
      </c>
      <c r="B130" s="67"/>
      <c r="C130" s="51"/>
    </row>
    <row r="131" spans="1:3" x14ac:dyDescent="0.25">
      <c r="A131" s="32">
        <v>130</v>
      </c>
      <c r="B131" s="67"/>
      <c r="C131" s="51"/>
    </row>
    <row r="132" spans="1:3" x14ac:dyDescent="0.25">
      <c r="A132" s="32">
        <v>131</v>
      </c>
      <c r="B132" s="67"/>
      <c r="C132" s="51"/>
    </row>
    <row r="133" spans="1:3" x14ac:dyDescent="0.25">
      <c r="A133" s="32">
        <v>132</v>
      </c>
      <c r="B133" s="67"/>
      <c r="C133" s="51"/>
    </row>
    <row r="134" spans="1:3" x14ac:dyDescent="0.25">
      <c r="A134" s="32">
        <v>133</v>
      </c>
      <c r="B134" s="67"/>
      <c r="C134" s="51"/>
    </row>
    <row r="135" spans="1:3" x14ac:dyDescent="0.25">
      <c r="A135" s="32">
        <v>134</v>
      </c>
      <c r="B135" s="67"/>
      <c r="C135" s="51"/>
    </row>
    <row r="136" spans="1:3" x14ac:dyDescent="0.25">
      <c r="A136" s="32">
        <v>135</v>
      </c>
      <c r="B136" s="67"/>
      <c r="C136" s="51"/>
    </row>
    <row r="137" spans="1:3" x14ac:dyDescent="0.25">
      <c r="A137" s="32">
        <v>136</v>
      </c>
      <c r="B137" s="67"/>
      <c r="C137" s="51"/>
    </row>
    <row r="138" spans="1:3" x14ac:dyDescent="0.25">
      <c r="A138" s="32">
        <v>137</v>
      </c>
      <c r="B138" s="67"/>
      <c r="C138" s="51"/>
    </row>
    <row r="139" spans="1:3" x14ac:dyDescent="0.25">
      <c r="A139" s="32">
        <v>138</v>
      </c>
      <c r="B139" s="67"/>
      <c r="C139" s="51"/>
    </row>
    <row r="140" spans="1:3" x14ac:dyDescent="0.25">
      <c r="A140" s="32">
        <v>139</v>
      </c>
      <c r="B140" s="67"/>
      <c r="C140" s="51"/>
    </row>
    <row r="141" spans="1:3" x14ac:dyDescent="0.25">
      <c r="A141" s="32">
        <v>140</v>
      </c>
      <c r="B141" s="67"/>
      <c r="C141" s="51"/>
    </row>
    <row r="142" spans="1:3" x14ac:dyDescent="0.25">
      <c r="A142" s="32">
        <v>141</v>
      </c>
      <c r="B142" s="67"/>
      <c r="C142" s="51"/>
    </row>
    <row r="143" spans="1:3" x14ac:dyDescent="0.25">
      <c r="A143" s="32">
        <v>142</v>
      </c>
      <c r="B143" s="67"/>
      <c r="C143" s="51"/>
    </row>
    <row r="144" spans="1:3" x14ac:dyDescent="0.25">
      <c r="A144" s="32">
        <v>143</v>
      </c>
      <c r="B144" s="67"/>
      <c r="C144" s="51"/>
    </row>
    <row r="145" spans="1:3" x14ac:dyDescent="0.25">
      <c r="A145" s="32">
        <v>144</v>
      </c>
      <c r="B145" s="67"/>
      <c r="C145" s="51"/>
    </row>
    <row r="146" spans="1:3" x14ac:dyDescent="0.25">
      <c r="A146" s="32">
        <v>145</v>
      </c>
      <c r="B146" s="67"/>
      <c r="C146" s="51"/>
    </row>
    <row r="147" spans="1:3" x14ac:dyDescent="0.25">
      <c r="A147" s="32">
        <v>146</v>
      </c>
      <c r="B147" s="67"/>
      <c r="C147" s="51"/>
    </row>
    <row r="148" spans="1:3" x14ac:dyDescent="0.25">
      <c r="A148" s="32">
        <v>147</v>
      </c>
      <c r="B148" s="67"/>
      <c r="C148" s="51"/>
    </row>
    <row r="149" spans="1:3" x14ac:dyDescent="0.25">
      <c r="A149" s="32">
        <v>148</v>
      </c>
      <c r="B149" s="67"/>
      <c r="C149" s="51"/>
    </row>
    <row r="150" spans="1:3" x14ac:dyDescent="0.25">
      <c r="A150" s="32">
        <v>149</v>
      </c>
      <c r="B150" s="67"/>
      <c r="C150" s="51"/>
    </row>
    <row r="151" spans="1:3" x14ac:dyDescent="0.25">
      <c r="A151" s="32">
        <v>150</v>
      </c>
      <c r="B151" s="67"/>
      <c r="C151" s="51"/>
    </row>
    <row r="152" spans="1:3" x14ac:dyDescent="0.25">
      <c r="A152" s="32">
        <v>151</v>
      </c>
      <c r="B152" s="67"/>
      <c r="C152" s="51"/>
    </row>
    <row r="153" spans="1:3" x14ac:dyDescent="0.25">
      <c r="A153" s="32">
        <v>152</v>
      </c>
      <c r="B153" s="67"/>
      <c r="C153" s="51"/>
    </row>
    <row r="154" spans="1:3" x14ac:dyDescent="0.25">
      <c r="A154" s="32">
        <v>153</v>
      </c>
      <c r="B154" s="67"/>
      <c r="C154" s="51"/>
    </row>
    <row r="155" spans="1:3" x14ac:dyDescent="0.25">
      <c r="A155" s="32">
        <v>154</v>
      </c>
      <c r="B155" s="67"/>
      <c r="C155" s="51"/>
    </row>
    <row r="156" spans="1:3" x14ac:dyDescent="0.25">
      <c r="A156" s="32">
        <v>155</v>
      </c>
      <c r="B156" s="67"/>
      <c r="C156" s="51"/>
    </row>
    <row r="157" spans="1:3" x14ac:dyDescent="0.25">
      <c r="A157" s="32">
        <v>156</v>
      </c>
      <c r="B157" s="67"/>
      <c r="C157" s="51"/>
    </row>
    <row r="158" spans="1:3" x14ac:dyDescent="0.25">
      <c r="A158" s="32">
        <v>157</v>
      </c>
      <c r="B158" s="67"/>
      <c r="C158" s="51"/>
    </row>
    <row r="159" spans="1:3" x14ac:dyDescent="0.25">
      <c r="A159" s="32">
        <v>158</v>
      </c>
      <c r="B159" s="67"/>
      <c r="C159" s="51"/>
    </row>
    <row r="160" spans="1:3" x14ac:dyDescent="0.25">
      <c r="A160" s="32">
        <v>159</v>
      </c>
      <c r="B160" s="67"/>
      <c r="C160" s="51"/>
    </row>
    <row r="161" spans="1:3" x14ac:dyDescent="0.25">
      <c r="A161" s="32">
        <v>160</v>
      </c>
      <c r="B161" s="67"/>
      <c r="C161" s="51"/>
    </row>
    <row r="162" spans="1:3" x14ac:dyDescent="0.25">
      <c r="A162" s="32">
        <v>161</v>
      </c>
      <c r="B162" s="67"/>
      <c r="C162" s="51"/>
    </row>
    <row r="163" spans="1:3" x14ac:dyDescent="0.25">
      <c r="A163" s="32">
        <v>162</v>
      </c>
      <c r="B163" s="67"/>
      <c r="C163" s="51"/>
    </row>
    <row r="164" spans="1:3" x14ac:dyDescent="0.25">
      <c r="A164" s="32">
        <v>163</v>
      </c>
      <c r="B164" s="67"/>
      <c r="C164" s="51"/>
    </row>
    <row r="165" spans="1:3" x14ac:dyDescent="0.25">
      <c r="A165" s="32">
        <v>164</v>
      </c>
      <c r="B165" s="67"/>
      <c r="C165" s="51"/>
    </row>
    <row r="166" spans="1:3" x14ac:dyDescent="0.25">
      <c r="A166" s="32">
        <v>165</v>
      </c>
      <c r="B166" s="67"/>
      <c r="C166" s="51"/>
    </row>
    <row r="167" spans="1:3" x14ac:dyDescent="0.25">
      <c r="A167" s="32">
        <v>166</v>
      </c>
      <c r="B167" s="67"/>
      <c r="C167" s="51"/>
    </row>
    <row r="168" spans="1:3" x14ac:dyDescent="0.25">
      <c r="A168" s="32">
        <v>167</v>
      </c>
      <c r="B168" s="67"/>
      <c r="C168" s="51"/>
    </row>
    <row r="169" spans="1:3" x14ac:dyDescent="0.25">
      <c r="A169" s="32">
        <v>168</v>
      </c>
      <c r="B169" s="67"/>
      <c r="C169" s="51"/>
    </row>
    <row r="170" spans="1:3" x14ac:dyDescent="0.25">
      <c r="A170" s="32">
        <v>169</v>
      </c>
      <c r="B170" s="67"/>
      <c r="C170" s="51"/>
    </row>
    <row r="171" spans="1:3" x14ac:dyDescent="0.25">
      <c r="A171" s="32">
        <v>170</v>
      </c>
      <c r="B171" s="67"/>
      <c r="C171" s="51"/>
    </row>
    <row r="172" spans="1:3" x14ac:dyDescent="0.25">
      <c r="A172" s="32">
        <v>171</v>
      </c>
      <c r="B172" s="67"/>
      <c r="C172" s="51"/>
    </row>
    <row r="173" spans="1:3" x14ac:dyDescent="0.25">
      <c r="A173" s="32">
        <v>172</v>
      </c>
      <c r="B173" s="67"/>
      <c r="C173" s="51"/>
    </row>
    <row r="174" spans="1:3" x14ac:dyDescent="0.25">
      <c r="A174" s="32">
        <v>173</v>
      </c>
      <c r="B174" s="67"/>
      <c r="C174" s="51"/>
    </row>
    <row r="175" spans="1:3" x14ac:dyDescent="0.25">
      <c r="A175" s="32">
        <v>174</v>
      </c>
      <c r="B175" s="67"/>
      <c r="C175" s="51"/>
    </row>
    <row r="176" spans="1:3" x14ac:dyDescent="0.25">
      <c r="A176" s="32">
        <v>175</v>
      </c>
      <c r="B176" s="67"/>
      <c r="C176" s="51"/>
    </row>
    <row r="177" spans="1:3" x14ac:dyDescent="0.25">
      <c r="A177" s="32">
        <v>176</v>
      </c>
      <c r="B177" s="67"/>
      <c r="C177" s="51"/>
    </row>
    <row r="178" spans="1:3" x14ac:dyDescent="0.25">
      <c r="A178" s="32">
        <v>177</v>
      </c>
      <c r="B178" s="67"/>
      <c r="C178" s="51"/>
    </row>
    <row r="179" spans="1:3" x14ac:dyDescent="0.25">
      <c r="A179" s="32">
        <v>178</v>
      </c>
      <c r="B179" s="67"/>
      <c r="C179" s="51"/>
    </row>
    <row r="180" spans="1:3" x14ac:dyDescent="0.25">
      <c r="A180" s="32">
        <v>179</v>
      </c>
      <c r="B180" s="67"/>
      <c r="C180" s="51"/>
    </row>
    <row r="181" spans="1:3" x14ac:dyDescent="0.25">
      <c r="A181" s="32">
        <v>180</v>
      </c>
      <c r="B181" s="67"/>
      <c r="C181" s="51"/>
    </row>
    <row r="182" spans="1:3" x14ac:dyDescent="0.25">
      <c r="A182" s="32">
        <v>181</v>
      </c>
      <c r="B182" s="67"/>
      <c r="C182" s="51"/>
    </row>
    <row r="183" spans="1:3" x14ac:dyDescent="0.25">
      <c r="A183" s="32">
        <v>182</v>
      </c>
      <c r="B183" s="67"/>
      <c r="C183" s="51"/>
    </row>
    <row r="184" spans="1:3" x14ac:dyDescent="0.25">
      <c r="A184" s="32">
        <v>183</v>
      </c>
      <c r="B184" s="67"/>
      <c r="C184" s="51"/>
    </row>
    <row r="185" spans="1:3" x14ac:dyDescent="0.25">
      <c r="A185" s="32">
        <v>184</v>
      </c>
      <c r="B185" s="67"/>
      <c r="C185" s="51"/>
    </row>
    <row r="186" spans="1:3" x14ac:dyDescent="0.25">
      <c r="A186" s="32">
        <v>185</v>
      </c>
      <c r="B186" s="67"/>
      <c r="C186" s="51"/>
    </row>
    <row r="187" spans="1:3" x14ac:dyDescent="0.25">
      <c r="A187" s="32">
        <v>186</v>
      </c>
      <c r="B187" s="67"/>
      <c r="C187" s="51"/>
    </row>
    <row r="188" spans="1:3" x14ac:dyDescent="0.25">
      <c r="A188" s="32">
        <v>187</v>
      </c>
      <c r="B188" s="67"/>
      <c r="C188" s="51"/>
    </row>
    <row r="189" spans="1:3" x14ac:dyDescent="0.25">
      <c r="A189" s="32">
        <v>188</v>
      </c>
      <c r="B189" s="67"/>
      <c r="C189" s="51"/>
    </row>
    <row r="190" spans="1:3" x14ac:dyDescent="0.25">
      <c r="A190" s="32">
        <v>189</v>
      </c>
      <c r="B190" s="67"/>
      <c r="C190" s="51"/>
    </row>
    <row r="191" spans="1:3" x14ac:dyDescent="0.25">
      <c r="A191" s="32">
        <v>190</v>
      </c>
      <c r="B191" s="67"/>
      <c r="C191" s="51"/>
    </row>
    <row r="192" spans="1:3" x14ac:dyDescent="0.25">
      <c r="A192" s="32">
        <v>191</v>
      </c>
      <c r="B192" s="67"/>
      <c r="C192" s="51"/>
    </row>
    <row r="193" spans="1:3" x14ac:dyDescent="0.25">
      <c r="A193" s="32">
        <v>192</v>
      </c>
      <c r="B193" s="67"/>
      <c r="C193" s="51"/>
    </row>
    <row r="194" spans="1:3" x14ac:dyDescent="0.25">
      <c r="A194" s="32">
        <v>193</v>
      </c>
      <c r="B194" s="67"/>
      <c r="C194" s="51"/>
    </row>
    <row r="195" spans="1:3" x14ac:dyDescent="0.25">
      <c r="A195" s="32">
        <v>194</v>
      </c>
      <c r="B195" s="67"/>
      <c r="C195" s="51"/>
    </row>
    <row r="196" spans="1:3" x14ac:dyDescent="0.25">
      <c r="A196" s="32">
        <v>195</v>
      </c>
      <c r="B196" s="67"/>
      <c r="C196" s="51"/>
    </row>
    <row r="197" spans="1:3" x14ac:dyDescent="0.25">
      <c r="A197" s="32">
        <v>196</v>
      </c>
      <c r="B197" s="67"/>
      <c r="C197" s="51"/>
    </row>
    <row r="198" spans="1:3" x14ac:dyDescent="0.25">
      <c r="A198" s="32">
        <v>197</v>
      </c>
      <c r="B198" s="67"/>
      <c r="C198" s="51"/>
    </row>
    <row r="199" spans="1:3" x14ac:dyDescent="0.25">
      <c r="A199" s="32">
        <v>198</v>
      </c>
      <c r="B199" s="67"/>
      <c r="C199" s="51"/>
    </row>
    <row r="200" spans="1:3" x14ac:dyDescent="0.25">
      <c r="A200" s="32">
        <v>199</v>
      </c>
      <c r="B200" s="67"/>
      <c r="C200" s="51"/>
    </row>
    <row r="201" spans="1:3" x14ac:dyDescent="0.25">
      <c r="A201" s="32">
        <v>200</v>
      </c>
      <c r="B201" s="67"/>
      <c r="C201" s="51"/>
    </row>
    <row r="202" spans="1:3" x14ac:dyDescent="0.25">
      <c r="A202" s="32">
        <v>201</v>
      </c>
      <c r="B202" s="67"/>
      <c r="C202" s="51"/>
    </row>
    <row r="203" spans="1:3" x14ac:dyDescent="0.25">
      <c r="A203" s="32">
        <v>202</v>
      </c>
      <c r="B203" s="67"/>
      <c r="C203" s="51"/>
    </row>
    <row r="204" spans="1:3" x14ac:dyDescent="0.25">
      <c r="A204" s="32">
        <v>203</v>
      </c>
      <c r="B204" s="67"/>
      <c r="C204" s="51"/>
    </row>
    <row r="205" spans="1:3" x14ac:dyDescent="0.25">
      <c r="A205" s="32">
        <v>204</v>
      </c>
      <c r="B205" s="67"/>
      <c r="C205" s="51"/>
    </row>
    <row r="206" spans="1:3" x14ac:dyDescent="0.25">
      <c r="A206" s="32">
        <v>205</v>
      </c>
      <c r="B206" s="67"/>
      <c r="C206" s="51"/>
    </row>
    <row r="207" spans="1:3" x14ac:dyDescent="0.25">
      <c r="A207" s="32">
        <v>206</v>
      </c>
      <c r="B207" s="67"/>
      <c r="C207" s="51"/>
    </row>
    <row r="208" spans="1:3" x14ac:dyDescent="0.25">
      <c r="A208" s="32">
        <v>207</v>
      </c>
      <c r="B208" s="67"/>
      <c r="C208" s="51"/>
    </row>
    <row r="209" spans="1:3" x14ac:dyDescent="0.25">
      <c r="A209" s="32">
        <v>208</v>
      </c>
      <c r="B209" s="67"/>
      <c r="C209" s="51"/>
    </row>
    <row r="210" spans="1:3" x14ac:dyDescent="0.25">
      <c r="A210" s="32">
        <v>209</v>
      </c>
      <c r="B210" s="67"/>
      <c r="C210" s="51"/>
    </row>
    <row r="211" spans="1:3" x14ac:dyDescent="0.25">
      <c r="A211" s="32">
        <v>210</v>
      </c>
      <c r="B211" s="67"/>
      <c r="C211" s="51"/>
    </row>
    <row r="212" spans="1:3" x14ac:dyDescent="0.25">
      <c r="A212" s="32">
        <v>211</v>
      </c>
      <c r="B212" s="67"/>
      <c r="C212" s="51"/>
    </row>
    <row r="213" spans="1:3" x14ac:dyDescent="0.25">
      <c r="A213" s="32">
        <v>212</v>
      </c>
      <c r="B213" s="67"/>
      <c r="C213" s="51"/>
    </row>
    <row r="214" spans="1:3" x14ac:dyDescent="0.25">
      <c r="A214" s="32">
        <v>213</v>
      </c>
      <c r="B214" s="67"/>
      <c r="C214" s="51"/>
    </row>
    <row r="215" spans="1:3" x14ac:dyDescent="0.25">
      <c r="A215" s="32">
        <v>214</v>
      </c>
      <c r="B215" s="67"/>
      <c r="C215" s="51"/>
    </row>
    <row r="216" spans="1:3" x14ac:dyDescent="0.25">
      <c r="A216" s="32">
        <v>215</v>
      </c>
      <c r="B216" s="67"/>
      <c r="C216" s="51"/>
    </row>
    <row r="217" spans="1:3" x14ac:dyDescent="0.25">
      <c r="A217" s="32">
        <v>216</v>
      </c>
      <c r="B217" s="67"/>
      <c r="C217" s="51"/>
    </row>
    <row r="218" spans="1:3" x14ac:dyDescent="0.25">
      <c r="A218" s="32">
        <v>217</v>
      </c>
      <c r="B218" s="67"/>
      <c r="C218" s="51"/>
    </row>
    <row r="219" spans="1:3" x14ac:dyDescent="0.25">
      <c r="A219" s="32">
        <v>218</v>
      </c>
      <c r="B219" s="67"/>
      <c r="C219" s="51"/>
    </row>
    <row r="220" spans="1:3" x14ac:dyDescent="0.25">
      <c r="A220" s="32">
        <v>219</v>
      </c>
      <c r="B220" s="67"/>
      <c r="C220" s="51"/>
    </row>
    <row r="221" spans="1:3" x14ac:dyDescent="0.25">
      <c r="A221" s="32">
        <v>220</v>
      </c>
      <c r="B221" s="67"/>
      <c r="C221" s="51"/>
    </row>
    <row r="222" spans="1:3" x14ac:dyDescent="0.25">
      <c r="A222" s="32">
        <v>221</v>
      </c>
      <c r="B222" s="67"/>
      <c r="C222" s="51"/>
    </row>
    <row r="223" spans="1:3" x14ac:dyDescent="0.25">
      <c r="A223" s="32">
        <v>222</v>
      </c>
      <c r="B223" s="67"/>
      <c r="C223" s="51"/>
    </row>
    <row r="224" spans="1:3" x14ac:dyDescent="0.25">
      <c r="A224" s="32">
        <v>223</v>
      </c>
      <c r="B224" s="67"/>
      <c r="C224" s="51"/>
    </row>
    <row r="225" spans="1:3" x14ac:dyDescent="0.25">
      <c r="A225" s="32">
        <v>224</v>
      </c>
      <c r="B225" s="67"/>
      <c r="C225" s="51"/>
    </row>
    <row r="226" spans="1:3" x14ac:dyDescent="0.25">
      <c r="A226" s="32">
        <v>225</v>
      </c>
      <c r="B226" s="67"/>
      <c r="C226" s="51"/>
    </row>
    <row r="227" spans="1:3" x14ac:dyDescent="0.25">
      <c r="A227" s="32">
        <v>226</v>
      </c>
      <c r="B227" s="67"/>
      <c r="C227" s="51"/>
    </row>
    <row r="228" spans="1:3" x14ac:dyDescent="0.25">
      <c r="A228" s="32">
        <v>227</v>
      </c>
      <c r="B228" s="67"/>
      <c r="C228" s="51"/>
    </row>
    <row r="229" spans="1:3" x14ac:dyDescent="0.25">
      <c r="A229" s="32">
        <v>228</v>
      </c>
      <c r="B229" s="67"/>
      <c r="C229" s="51"/>
    </row>
    <row r="230" spans="1:3" x14ac:dyDescent="0.25">
      <c r="A230" s="32">
        <v>229</v>
      </c>
      <c r="B230" s="67"/>
      <c r="C230" s="51"/>
    </row>
    <row r="231" spans="1:3" x14ac:dyDescent="0.25">
      <c r="A231" s="32">
        <v>230</v>
      </c>
      <c r="B231" s="67"/>
      <c r="C231" s="51"/>
    </row>
    <row r="232" spans="1:3" x14ac:dyDescent="0.25">
      <c r="A232" s="32">
        <v>231</v>
      </c>
      <c r="B232" s="67"/>
      <c r="C232" s="51"/>
    </row>
    <row r="233" spans="1:3" x14ac:dyDescent="0.25">
      <c r="A233" s="32">
        <v>232</v>
      </c>
      <c r="B233" s="67"/>
      <c r="C233" s="51"/>
    </row>
    <row r="234" spans="1:3" x14ac:dyDescent="0.25">
      <c r="A234" s="32">
        <v>233</v>
      </c>
      <c r="B234" s="67"/>
      <c r="C234" s="51"/>
    </row>
    <row r="235" spans="1:3" x14ac:dyDescent="0.25">
      <c r="A235" s="32">
        <v>234</v>
      </c>
      <c r="B235" s="67"/>
      <c r="C235" s="51"/>
    </row>
    <row r="236" spans="1:3" x14ac:dyDescent="0.25">
      <c r="A236" s="32">
        <v>235</v>
      </c>
      <c r="B236" s="67"/>
      <c r="C236" s="51"/>
    </row>
    <row r="237" spans="1:3" x14ac:dyDescent="0.25">
      <c r="A237" s="32">
        <v>236</v>
      </c>
      <c r="B237" s="67"/>
      <c r="C237" s="51"/>
    </row>
    <row r="238" spans="1:3" x14ac:dyDescent="0.25">
      <c r="A238" s="32">
        <v>237</v>
      </c>
      <c r="B238" s="67"/>
      <c r="C238" s="51"/>
    </row>
    <row r="239" spans="1:3" x14ac:dyDescent="0.25">
      <c r="A239" s="32">
        <v>238</v>
      </c>
      <c r="B239" s="67"/>
      <c r="C239" s="51"/>
    </row>
    <row r="240" spans="1:3" x14ac:dyDescent="0.25">
      <c r="A240" s="32">
        <v>239</v>
      </c>
      <c r="B240" s="67"/>
      <c r="C240" s="51"/>
    </row>
    <row r="241" spans="1:3" x14ac:dyDescent="0.25">
      <c r="A241" s="32">
        <v>240</v>
      </c>
      <c r="B241" s="67"/>
      <c r="C241" s="51"/>
    </row>
    <row r="242" spans="1:3" x14ac:dyDescent="0.25">
      <c r="A242" s="32">
        <v>241</v>
      </c>
      <c r="B242" s="67"/>
      <c r="C242" s="51"/>
    </row>
    <row r="243" spans="1:3" x14ac:dyDescent="0.25">
      <c r="A243" s="32">
        <v>242</v>
      </c>
      <c r="B243" s="67"/>
      <c r="C243" s="51"/>
    </row>
    <row r="244" spans="1:3" x14ac:dyDescent="0.25">
      <c r="A244" s="32">
        <v>243</v>
      </c>
      <c r="B244" s="67"/>
      <c r="C244" s="51"/>
    </row>
    <row r="245" spans="1:3" x14ac:dyDescent="0.25">
      <c r="A245" s="32">
        <v>244</v>
      </c>
      <c r="B245" s="67"/>
      <c r="C245" s="51"/>
    </row>
    <row r="246" spans="1:3" x14ac:dyDescent="0.25">
      <c r="A246" s="32">
        <v>245</v>
      </c>
      <c r="B246" s="67"/>
      <c r="C246" s="51"/>
    </row>
    <row r="247" spans="1:3" x14ac:dyDescent="0.25">
      <c r="A247" s="32">
        <v>246</v>
      </c>
      <c r="B247" s="67"/>
      <c r="C247" s="51"/>
    </row>
    <row r="248" spans="1:3" x14ac:dyDescent="0.25">
      <c r="A248" s="32">
        <v>247</v>
      </c>
      <c r="B248" s="67"/>
      <c r="C248" s="51"/>
    </row>
    <row r="249" spans="1:3" x14ac:dyDescent="0.25">
      <c r="A249" s="32">
        <v>248</v>
      </c>
      <c r="B249" s="67"/>
      <c r="C249" s="51"/>
    </row>
    <row r="250" spans="1:3" x14ac:dyDescent="0.25">
      <c r="A250" s="32">
        <v>249</v>
      </c>
      <c r="B250" s="67"/>
      <c r="C250" s="51"/>
    </row>
    <row r="251" spans="1:3" x14ac:dyDescent="0.25">
      <c r="A251" s="32">
        <v>250</v>
      </c>
      <c r="B251" s="67"/>
      <c r="C251" s="51"/>
    </row>
    <row r="252" spans="1:3" x14ac:dyDescent="0.25">
      <c r="A252" s="32">
        <v>251</v>
      </c>
      <c r="B252" s="67"/>
      <c r="C252" s="51"/>
    </row>
    <row r="253" spans="1:3" x14ac:dyDescent="0.25">
      <c r="A253" s="32">
        <v>252</v>
      </c>
      <c r="B253" s="67"/>
      <c r="C253" s="51"/>
    </row>
    <row r="254" spans="1:3" x14ac:dyDescent="0.25">
      <c r="A254" s="32">
        <v>253</v>
      </c>
      <c r="B254" s="67"/>
      <c r="C254" s="51"/>
    </row>
    <row r="255" spans="1:3" x14ac:dyDescent="0.25">
      <c r="A255" s="32">
        <v>254</v>
      </c>
      <c r="B255" s="67"/>
      <c r="C255" s="51"/>
    </row>
    <row r="256" spans="1:3" x14ac:dyDescent="0.25">
      <c r="A256" s="32">
        <v>255</v>
      </c>
      <c r="B256" s="67"/>
      <c r="C256" s="51"/>
    </row>
    <row r="257" spans="1:3" x14ac:dyDescent="0.25">
      <c r="A257" s="32">
        <v>256</v>
      </c>
      <c r="B257" s="67"/>
      <c r="C257" s="51"/>
    </row>
    <row r="258" spans="1:3" x14ac:dyDescent="0.25">
      <c r="A258" s="32">
        <v>257</v>
      </c>
      <c r="B258" s="67"/>
      <c r="C258" s="51"/>
    </row>
    <row r="259" spans="1:3" x14ac:dyDescent="0.25">
      <c r="A259" s="32">
        <v>258</v>
      </c>
      <c r="B259" s="67"/>
      <c r="C259" s="51"/>
    </row>
    <row r="260" spans="1:3" x14ac:dyDescent="0.25">
      <c r="A260" s="32">
        <v>259</v>
      </c>
      <c r="B260" s="67"/>
      <c r="C260" s="51"/>
    </row>
    <row r="261" spans="1:3" x14ac:dyDescent="0.25">
      <c r="A261" s="32">
        <v>260</v>
      </c>
      <c r="B261" s="67"/>
      <c r="C261" s="51"/>
    </row>
    <row r="262" spans="1:3" x14ac:dyDescent="0.25">
      <c r="A262" s="32">
        <v>261</v>
      </c>
      <c r="B262" s="67"/>
      <c r="C262" s="51"/>
    </row>
    <row r="263" spans="1:3" x14ac:dyDescent="0.25">
      <c r="A263" s="32">
        <v>262</v>
      </c>
      <c r="B263" s="67"/>
      <c r="C263" s="51"/>
    </row>
    <row r="264" spans="1:3" x14ac:dyDescent="0.25">
      <c r="A264" s="32">
        <v>263</v>
      </c>
      <c r="B264" s="67"/>
      <c r="C264" s="51"/>
    </row>
    <row r="265" spans="1:3" x14ac:dyDescent="0.25">
      <c r="A265" s="32">
        <v>264</v>
      </c>
      <c r="B265" s="67"/>
      <c r="C265" s="51"/>
    </row>
    <row r="266" spans="1:3" x14ac:dyDescent="0.25">
      <c r="A266" s="32">
        <v>265</v>
      </c>
      <c r="B266" s="67"/>
      <c r="C266" s="51"/>
    </row>
    <row r="267" spans="1:3" x14ac:dyDescent="0.25">
      <c r="A267" s="32">
        <v>266</v>
      </c>
      <c r="B267" s="67"/>
      <c r="C267" s="51"/>
    </row>
    <row r="268" spans="1:3" x14ac:dyDescent="0.25">
      <c r="A268" s="32">
        <v>267</v>
      </c>
      <c r="B268" s="67"/>
      <c r="C268" s="51"/>
    </row>
    <row r="269" spans="1:3" x14ac:dyDescent="0.25">
      <c r="A269" s="32">
        <v>268</v>
      </c>
      <c r="B269" s="67"/>
      <c r="C269" s="51"/>
    </row>
    <row r="270" spans="1:3" x14ac:dyDescent="0.25">
      <c r="A270" s="32">
        <v>269</v>
      </c>
      <c r="B270" s="67"/>
      <c r="C270" s="51"/>
    </row>
    <row r="271" spans="1:3" x14ac:dyDescent="0.25">
      <c r="A271" s="32">
        <v>270</v>
      </c>
      <c r="B271" s="67"/>
      <c r="C271" s="51"/>
    </row>
    <row r="272" spans="1:3" x14ac:dyDescent="0.25">
      <c r="A272" s="32">
        <v>271</v>
      </c>
      <c r="B272" s="67"/>
      <c r="C272" s="51"/>
    </row>
    <row r="273" spans="1:3" x14ac:dyDescent="0.25">
      <c r="A273" s="32">
        <v>272</v>
      </c>
      <c r="B273" s="67"/>
      <c r="C273" s="51"/>
    </row>
    <row r="274" spans="1:3" x14ac:dyDescent="0.25">
      <c r="A274" s="32">
        <v>273</v>
      </c>
      <c r="B274" s="67"/>
      <c r="C274" s="51"/>
    </row>
    <row r="275" spans="1:3" x14ac:dyDescent="0.25">
      <c r="A275" s="32">
        <v>274</v>
      </c>
      <c r="B275" s="67"/>
      <c r="C275" s="51"/>
    </row>
    <row r="276" spans="1:3" x14ac:dyDescent="0.25">
      <c r="A276" s="32">
        <v>275</v>
      </c>
      <c r="B276" s="67"/>
      <c r="C276" s="51"/>
    </row>
    <row r="277" spans="1:3" x14ac:dyDescent="0.25">
      <c r="A277" s="32">
        <v>276</v>
      </c>
      <c r="B277" s="67"/>
      <c r="C277" s="51"/>
    </row>
    <row r="278" spans="1:3" x14ac:dyDescent="0.25">
      <c r="A278" s="32">
        <v>277</v>
      </c>
      <c r="B278" s="67"/>
      <c r="C278" s="51"/>
    </row>
    <row r="279" spans="1:3" ht="15.75" thickBot="1" x14ac:dyDescent="0.3">
      <c r="A279" s="33">
        <v>278</v>
      </c>
      <c r="B279" s="68"/>
      <c r="C279" s="85"/>
    </row>
    <row r="280" spans="1:3" x14ac:dyDescent="0.25">
      <c r="C280" s="43"/>
    </row>
    <row r="281" spans="1:3" x14ac:dyDescent="0.25">
      <c r="C281" s="43"/>
    </row>
    <row r="282" spans="1:3" x14ac:dyDescent="0.25">
      <c r="C282" s="43"/>
    </row>
    <row r="283" spans="1:3" x14ac:dyDescent="0.25">
      <c r="C283" s="43"/>
    </row>
    <row r="284" spans="1:3" x14ac:dyDescent="0.25">
      <c r="C284" s="43"/>
    </row>
    <row r="285" spans="1:3" x14ac:dyDescent="0.25">
      <c r="C285" s="43"/>
    </row>
    <row r="286" spans="1:3" x14ac:dyDescent="0.25">
      <c r="C286" s="43"/>
    </row>
    <row r="287" spans="1:3" x14ac:dyDescent="0.25">
      <c r="C287" s="43"/>
    </row>
    <row r="288" spans="1:3" x14ac:dyDescent="0.25">
      <c r="C288" s="43"/>
    </row>
    <row r="289" spans="3:3" x14ac:dyDescent="0.25">
      <c r="C289" s="43"/>
    </row>
    <row r="290" spans="3:3" x14ac:dyDescent="0.25">
      <c r="C290" s="43"/>
    </row>
    <row r="291" spans="3:3" x14ac:dyDescent="0.25">
      <c r="C291" s="43"/>
    </row>
    <row r="292" spans="3:3" x14ac:dyDescent="0.25">
      <c r="C292" s="43"/>
    </row>
    <row r="293" spans="3:3" x14ac:dyDescent="0.25">
      <c r="C293" s="43"/>
    </row>
    <row r="294" spans="3:3" x14ac:dyDescent="0.25">
      <c r="C294" s="43"/>
    </row>
    <row r="295" spans="3:3" x14ac:dyDescent="0.25">
      <c r="C295" s="43"/>
    </row>
    <row r="296" spans="3:3" x14ac:dyDescent="0.25">
      <c r="C296" s="43"/>
    </row>
    <row r="297" spans="3:3" x14ac:dyDescent="0.25">
      <c r="C297" s="43"/>
    </row>
    <row r="298" spans="3:3" x14ac:dyDescent="0.25">
      <c r="C298" s="43"/>
    </row>
    <row r="299" spans="3:3" x14ac:dyDescent="0.25">
      <c r="C299" s="43"/>
    </row>
    <row r="300" spans="3:3" x14ac:dyDescent="0.25">
      <c r="C300" s="43"/>
    </row>
    <row r="301" spans="3:3" x14ac:dyDescent="0.25">
      <c r="C301" s="43"/>
    </row>
    <row r="302" spans="3:3" x14ac:dyDescent="0.25">
      <c r="C302" s="43"/>
    </row>
    <row r="303" spans="3:3" x14ac:dyDescent="0.25">
      <c r="C303" s="43"/>
    </row>
    <row r="304" spans="3:3" x14ac:dyDescent="0.25">
      <c r="C304" s="43"/>
    </row>
    <row r="305" spans="3:3" x14ac:dyDescent="0.25">
      <c r="C305" s="43"/>
    </row>
    <row r="306" spans="3:3" x14ac:dyDescent="0.25">
      <c r="C306" s="43"/>
    </row>
    <row r="307" spans="3:3" x14ac:dyDescent="0.25">
      <c r="C307" s="43"/>
    </row>
    <row r="308" spans="3:3" x14ac:dyDescent="0.25">
      <c r="C308" s="43"/>
    </row>
    <row r="309" spans="3:3" x14ac:dyDescent="0.25">
      <c r="C309" s="43"/>
    </row>
    <row r="310" spans="3:3" x14ac:dyDescent="0.25">
      <c r="C310" s="43"/>
    </row>
    <row r="311" spans="3:3" x14ac:dyDescent="0.25">
      <c r="C311" s="43"/>
    </row>
    <row r="312" spans="3:3" x14ac:dyDescent="0.25">
      <c r="C312" s="43"/>
    </row>
    <row r="313" spans="3:3" x14ac:dyDescent="0.25">
      <c r="C313" s="43"/>
    </row>
    <row r="314" spans="3:3" x14ac:dyDescent="0.25">
      <c r="C314" s="43"/>
    </row>
    <row r="315" spans="3:3" x14ac:dyDescent="0.25">
      <c r="C315" s="43"/>
    </row>
    <row r="316" spans="3:3" x14ac:dyDescent="0.25">
      <c r="C316" s="43"/>
    </row>
    <row r="317" spans="3:3" x14ac:dyDescent="0.25">
      <c r="C317" s="43"/>
    </row>
    <row r="318" spans="3:3" x14ac:dyDescent="0.25">
      <c r="C318" s="43"/>
    </row>
    <row r="319" spans="3:3" x14ac:dyDescent="0.25">
      <c r="C319" s="43"/>
    </row>
    <row r="320" spans="3:3" x14ac:dyDescent="0.25">
      <c r="C320" s="43"/>
    </row>
    <row r="321" spans="3:3" x14ac:dyDescent="0.25">
      <c r="C321" s="43"/>
    </row>
    <row r="322" spans="3:3" x14ac:dyDescent="0.25">
      <c r="C322" s="43"/>
    </row>
    <row r="323" spans="3:3" x14ac:dyDescent="0.25">
      <c r="C323" s="43"/>
    </row>
    <row r="324" spans="3:3" x14ac:dyDescent="0.25">
      <c r="C324" s="43"/>
    </row>
    <row r="325" spans="3:3" x14ac:dyDescent="0.25">
      <c r="C325" s="43"/>
    </row>
    <row r="326" spans="3:3" x14ac:dyDescent="0.25">
      <c r="C326" s="43"/>
    </row>
    <row r="327" spans="3:3" x14ac:dyDescent="0.25">
      <c r="C327" s="43"/>
    </row>
    <row r="328" spans="3:3" x14ac:dyDescent="0.25">
      <c r="C328" s="43"/>
    </row>
    <row r="329" spans="3:3" x14ac:dyDescent="0.25">
      <c r="C329" s="43"/>
    </row>
    <row r="330" spans="3:3" x14ac:dyDescent="0.25">
      <c r="C330" s="43"/>
    </row>
    <row r="331" spans="3:3" x14ac:dyDescent="0.25">
      <c r="C331" s="43"/>
    </row>
    <row r="332" spans="3:3" x14ac:dyDescent="0.25">
      <c r="C332" s="43"/>
    </row>
    <row r="333" spans="3:3" x14ac:dyDescent="0.25">
      <c r="C333" s="43"/>
    </row>
    <row r="334" spans="3:3" x14ac:dyDescent="0.25">
      <c r="C334" s="43"/>
    </row>
    <row r="335" spans="3:3" x14ac:dyDescent="0.25">
      <c r="C335" s="43"/>
    </row>
    <row r="336" spans="3:3" x14ac:dyDescent="0.25">
      <c r="C336" s="43"/>
    </row>
    <row r="337" spans="3:3" x14ac:dyDescent="0.25">
      <c r="C337" s="43"/>
    </row>
    <row r="338" spans="3:3" x14ac:dyDescent="0.25">
      <c r="C338" s="43"/>
    </row>
    <row r="339" spans="3:3" x14ac:dyDescent="0.25">
      <c r="C339" s="43"/>
    </row>
    <row r="340" spans="3:3" x14ac:dyDescent="0.25">
      <c r="C340" s="43"/>
    </row>
    <row r="341" spans="3:3" x14ac:dyDescent="0.25">
      <c r="C341" s="43"/>
    </row>
    <row r="342" spans="3:3" x14ac:dyDescent="0.25">
      <c r="C342" s="43"/>
    </row>
    <row r="343" spans="3:3" x14ac:dyDescent="0.25">
      <c r="C343" s="43"/>
    </row>
    <row r="344" spans="3:3" x14ac:dyDescent="0.25">
      <c r="C344" s="43"/>
    </row>
    <row r="345" spans="3:3" x14ac:dyDescent="0.25">
      <c r="C345" s="43"/>
    </row>
    <row r="346" spans="3:3" x14ac:dyDescent="0.25">
      <c r="C346" s="43"/>
    </row>
    <row r="347" spans="3:3" x14ac:dyDescent="0.25">
      <c r="C347" s="43"/>
    </row>
    <row r="348" spans="3:3" x14ac:dyDescent="0.25">
      <c r="C348" s="43"/>
    </row>
    <row r="349" spans="3:3" x14ac:dyDescent="0.25">
      <c r="C349" s="43"/>
    </row>
    <row r="350" spans="3:3" x14ac:dyDescent="0.25">
      <c r="C350" s="43"/>
    </row>
    <row r="351" spans="3:3" x14ac:dyDescent="0.25">
      <c r="C351" s="43"/>
    </row>
    <row r="352" spans="3:3" x14ac:dyDescent="0.25">
      <c r="C352" s="43"/>
    </row>
    <row r="353" spans="3:3" x14ac:dyDescent="0.25">
      <c r="C353" s="43"/>
    </row>
    <row r="354" spans="3:3" x14ac:dyDescent="0.25">
      <c r="C354" s="43"/>
    </row>
    <row r="355" spans="3:3" x14ac:dyDescent="0.25">
      <c r="C355" s="43"/>
    </row>
    <row r="356" spans="3:3" x14ac:dyDescent="0.25">
      <c r="C356" s="43"/>
    </row>
    <row r="357" spans="3:3" x14ac:dyDescent="0.25">
      <c r="C357" s="43"/>
    </row>
    <row r="358" spans="3:3" x14ac:dyDescent="0.25">
      <c r="C358" s="43"/>
    </row>
    <row r="359" spans="3:3" x14ac:dyDescent="0.25">
      <c r="C359" s="43"/>
    </row>
    <row r="360" spans="3:3" x14ac:dyDescent="0.25">
      <c r="C360" s="43"/>
    </row>
    <row r="361" spans="3:3" x14ac:dyDescent="0.25">
      <c r="C361" s="43"/>
    </row>
    <row r="362" spans="3:3" x14ac:dyDescent="0.25">
      <c r="C362" s="43"/>
    </row>
    <row r="363" spans="3:3" x14ac:dyDescent="0.25">
      <c r="C363" s="43"/>
    </row>
    <row r="364" spans="3:3" x14ac:dyDescent="0.25">
      <c r="C364" s="43"/>
    </row>
    <row r="365" spans="3:3" x14ac:dyDescent="0.25">
      <c r="C365" s="43"/>
    </row>
    <row r="366" spans="3:3" x14ac:dyDescent="0.25">
      <c r="C366" s="43"/>
    </row>
    <row r="367" spans="3:3" x14ac:dyDescent="0.25">
      <c r="C367" s="43"/>
    </row>
    <row r="368" spans="3:3" x14ac:dyDescent="0.25">
      <c r="C368" s="43"/>
    </row>
    <row r="369" spans="3:3" x14ac:dyDescent="0.25">
      <c r="C369" s="43"/>
    </row>
    <row r="370" spans="3:3" x14ac:dyDescent="0.25">
      <c r="C370" s="43"/>
    </row>
    <row r="371" spans="3:3" x14ac:dyDescent="0.25">
      <c r="C371" s="43"/>
    </row>
    <row r="372" spans="3:3" x14ac:dyDescent="0.25">
      <c r="C372" s="43"/>
    </row>
    <row r="373" spans="3:3" x14ac:dyDescent="0.25">
      <c r="C373" s="43"/>
    </row>
    <row r="374" spans="3:3" x14ac:dyDescent="0.25">
      <c r="C374" s="43"/>
    </row>
    <row r="375" spans="3:3" x14ac:dyDescent="0.25">
      <c r="C375" s="43"/>
    </row>
    <row r="376" spans="3:3" x14ac:dyDescent="0.25">
      <c r="C376" s="43"/>
    </row>
    <row r="377" spans="3:3" x14ac:dyDescent="0.25">
      <c r="C377" s="43"/>
    </row>
    <row r="378" spans="3:3" x14ac:dyDescent="0.25">
      <c r="C378" s="43"/>
    </row>
    <row r="379" spans="3:3" x14ac:dyDescent="0.25">
      <c r="C379" s="43"/>
    </row>
    <row r="380" spans="3:3" x14ac:dyDescent="0.25">
      <c r="C380" s="43"/>
    </row>
    <row r="381" spans="3:3" x14ac:dyDescent="0.25">
      <c r="C381" s="43"/>
    </row>
    <row r="382" spans="3:3" x14ac:dyDescent="0.25">
      <c r="C382" s="43"/>
    </row>
    <row r="383" spans="3:3" x14ac:dyDescent="0.25">
      <c r="C383" s="43"/>
    </row>
    <row r="384" spans="3:3" x14ac:dyDescent="0.25">
      <c r="C384" s="43"/>
    </row>
    <row r="385" spans="3:3" x14ac:dyDescent="0.25">
      <c r="C385" s="43"/>
    </row>
    <row r="386" spans="3:3" x14ac:dyDescent="0.25">
      <c r="C386" s="43"/>
    </row>
    <row r="387" spans="3:3" x14ac:dyDescent="0.25">
      <c r="C387" s="43"/>
    </row>
    <row r="388" spans="3:3" x14ac:dyDescent="0.25">
      <c r="C388" s="43"/>
    </row>
    <row r="389" spans="3:3" x14ac:dyDescent="0.25">
      <c r="C389" s="43"/>
    </row>
    <row r="390" spans="3:3" x14ac:dyDescent="0.25">
      <c r="C390" s="43"/>
    </row>
    <row r="391" spans="3:3" x14ac:dyDescent="0.25">
      <c r="C391" s="43"/>
    </row>
    <row r="392" spans="3:3" x14ac:dyDescent="0.25">
      <c r="C392" s="43"/>
    </row>
    <row r="393" spans="3:3" x14ac:dyDescent="0.25">
      <c r="C393" s="43"/>
    </row>
    <row r="394" spans="3:3" x14ac:dyDescent="0.25">
      <c r="C394" s="43"/>
    </row>
    <row r="395" spans="3:3" x14ac:dyDescent="0.25">
      <c r="C395" s="43"/>
    </row>
    <row r="396" spans="3:3" x14ac:dyDescent="0.25">
      <c r="C396" s="43"/>
    </row>
    <row r="397" spans="3:3" x14ac:dyDescent="0.25">
      <c r="C397" s="43"/>
    </row>
    <row r="398" spans="3:3" x14ac:dyDescent="0.25">
      <c r="C398" s="43"/>
    </row>
    <row r="399" spans="3:3" x14ac:dyDescent="0.25">
      <c r="C399" s="43"/>
    </row>
    <row r="400" spans="3:3" x14ac:dyDescent="0.25">
      <c r="C400" s="43"/>
    </row>
    <row r="401" spans="3:3" x14ac:dyDescent="0.25">
      <c r="C401" s="43"/>
    </row>
    <row r="402" spans="3:3" x14ac:dyDescent="0.25">
      <c r="C402" s="43"/>
    </row>
    <row r="403" spans="3:3" x14ac:dyDescent="0.25">
      <c r="C403" s="43"/>
    </row>
    <row r="404" spans="3:3" x14ac:dyDescent="0.25">
      <c r="C404" s="43"/>
    </row>
    <row r="405" spans="3:3" x14ac:dyDescent="0.25">
      <c r="C405" s="43"/>
    </row>
    <row r="406" spans="3:3" x14ac:dyDescent="0.25">
      <c r="C406" s="43"/>
    </row>
    <row r="407" spans="3:3" x14ac:dyDescent="0.25">
      <c r="C407" s="43"/>
    </row>
    <row r="408" spans="3:3" x14ac:dyDescent="0.25">
      <c r="C408" s="43"/>
    </row>
    <row r="409" spans="3:3" x14ac:dyDescent="0.25">
      <c r="C409" s="43"/>
    </row>
    <row r="410" spans="3:3" x14ac:dyDescent="0.25">
      <c r="C410" s="43"/>
    </row>
    <row r="411" spans="3:3" x14ac:dyDescent="0.25">
      <c r="C411" s="43"/>
    </row>
    <row r="412" spans="3:3" x14ac:dyDescent="0.25">
      <c r="C412" s="43"/>
    </row>
    <row r="413" spans="3:3" x14ac:dyDescent="0.25">
      <c r="C413" s="43"/>
    </row>
    <row r="414" spans="3:3" x14ac:dyDescent="0.25">
      <c r="C414" s="43"/>
    </row>
    <row r="415" spans="3:3" x14ac:dyDescent="0.25">
      <c r="C415" s="43"/>
    </row>
    <row r="416" spans="3:3" x14ac:dyDescent="0.25">
      <c r="C416" s="43"/>
    </row>
    <row r="417" spans="3:3" x14ac:dyDescent="0.25">
      <c r="C417" s="43"/>
    </row>
    <row r="418" spans="3:3" x14ac:dyDescent="0.25">
      <c r="C418" s="43"/>
    </row>
    <row r="419" spans="3:3" x14ac:dyDescent="0.25">
      <c r="C419" s="43"/>
    </row>
    <row r="420" spans="3:3" x14ac:dyDescent="0.25">
      <c r="C420" s="43"/>
    </row>
    <row r="421" spans="3:3" x14ac:dyDescent="0.25">
      <c r="C421" s="43"/>
    </row>
    <row r="422" spans="3:3" x14ac:dyDescent="0.25">
      <c r="C422" s="43"/>
    </row>
    <row r="423" spans="3:3" x14ac:dyDescent="0.25">
      <c r="C423" s="43"/>
    </row>
    <row r="424" spans="3:3" x14ac:dyDescent="0.25">
      <c r="C424" s="43"/>
    </row>
    <row r="425" spans="3:3" x14ac:dyDescent="0.25">
      <c r="C425" s="43"/>
    </row>
    <row r="426" spans="3:3" x14ac:dyDescent="0.25">
      <c r="C426" s="43"/>
    </row>
    <row r="427" spans="3:3" x14ac:dyDescent="0.25">
      <c r="C427" s="43"/>
    </row>
    <row r="428" spans="3:3" x14ac:dyDescent="0.25">
      <c r="C428" s="43"/>
    </row>
    <row r="429" spans="3:3" x14ac:dyDescent="0.25">
      <c r="C429" s="43"/>
    </row>
    <row r="430" spans="3:3" x14ac:dyDescent="0.25">
      <c r="C430" s="43"/>
    </row>
    <row r="431" spans="3:3" x14ac:dyDescent="0.25">
      <c r="C431" s="43"/>
    </row>
    <row r="432" spans="3:3" x14ac:dyDescent="0.25">
      <c r="C432" s="43"/>
    </row>
    <row r="433" spans="3:3" x14ac:dyDescent="0.25">
      <c r="C433" s="43"/>
    </row>
    <row r="434" spans="3:3" x14ac:dyDescent="0.25">
      <c r="C434" s="43"/>
    </row>
    <row r="435" spans="3:3" x14ac:dyDescent="0.25">
      <c r="C435" s="43"/>
    </row>
    <row r="436" spans="3:3" x14ac:dyDescent="0.25">
      <c r="C436" s="43"/>
    </row>
    <row r="437" spans="3:3" x14ac:dyDescent="0.25">
      <c r="C437" s="43"/>
    </row>
    <row r="438" spans="3:3" x14ac:dyDescent="0.25">
      <c r="C438" s="43"/>
    </row>
    <row r="439" spans="3:3" x14ac:dyDescent="0.25">
      <c r="C439" s="43"/>
    </row>
    <row r="440" spans="3:3" x14ac:dyDescent="0.25">
      <c r="C440" s="43"/>
    </row>
    <row r="441" spans="3:3" x14ac:dyDescent="0.25">
      <c r="C441" s="43"/>
    </row>
    <row r="442" spans="3:3" x14ac:dyDescent="0.25">
      <c r="C442" s="43"/>
    </row>
    <row r="443" spans="3:3" x14ac:dyDescent="0.25">
      <c r="C443" s="43"/>
    </row>
    <row r="444" spans="3:3" x14ac:dyDescent="0.25">
      <c r="C444" s="43"/>
    </row>
    <row r="445" spans="3:3" x14ac:dyDescent="0.25">
      <c r="C445" s="43"/>
    </row>
    <row r="446" spans="3:3" x14ac:dyDescent="0.25">
      <c r="C446" s="43"/>
    </row>
    <row r="447" spans="3:3" x14ac:dyDescent="0.25">
      <c r="C447" s="43"/>
    </row>
    <row r="448" spans="3:3" x14ac:dyDescent="0.25">
      <c r="C448" s="43"/>
    </row>
    <row r="449" spans="3:3" x14ac:dyDescent="0.25">
      <c r="C449" s="43"/>
    </row>
    <row r="450" spans="3:3" x14ac:dyDescent="0.25">
      <c r="C450" s="43"/>
    </row>
    <row r="451" spans="3:3" x14ac:dyDescent="0.25">
      <c r="C451" s="43"/>
    </row>
    <row r="452" spans="3:3" x14ac:dyDescent="0.25">
      <c r="C452" s="43"/>
    </row>
    <row r="453" spans="3:3" x14ac:dyDescent="0.25">
      <c r="C453" s="43"/>
    </row>
    <row r="454" spans="3:3" x14ac:dyDescent="0.25">
      <c r="C454" s="43"/>
    </row>
    <row r="455" spans="3:3" x14ac:dyDescent="0.25">
      <c r="C455" s="43"/>
    </row>
    <row r="456" spans="3:3" x14ac:dyDescent="0.25">
      <c r="C456" s="43"/>
    </row>
    <row r="457" spans="3:3" x14ac:dyDescent="0.25">
      <c r="C457" s="43"/>
    </row>
    <row r="458" spans="3:3" x14ac:dyDescent="0.25">
      <c r="C458" s="43"/>
    </row>
    <row r="459" spans="3:3" x14ac:dyDescent="0.25">
      <c r="C459" s="43"/>
    </row>
    <row r="460" spans="3:3" x14ac:dyDescent="0.25">
      <c r="C460" s="43"/>
    </row>
    <row r="461" spans="3:3" x14ac:dyDescent="0.25">
      <c r="C461" s="43"/>
    </row>
    <row r="462" spans="3:3" x14ac:dyDescent="0.25">
      <c r="C462" s="43"/>
    </row>
    <row r="463" spans="3:3" x14ac:dyDescent="0.25">
      <c r="C463" s="43"/>
    </row>
    <row r="464" spans="3:3" x14ac:dyDescent="0.25">
      <c r="C464" s="43"/>
    </row>
    <row r="465" spans="3:3" x14ac:dyDescent="0.25">
      <c r="C465" s="43"/>
    </row>
    <row r="466" spans="3:3" x14ac:dyDescent="0.25">
      <c r="C466" s="43"/>
    </row>
    <row r="467" spans="3:3" x14ac:dyDescent="0.25">
      <c r="C467" s="43"/>
    </row>
    <row r="468" spans="3:3" x14ac:dyDescent="0.25">
      <c r="C468" s="43"/>
    </row>
    <row r="469" spans="3:3" x14ac:dyDescent="0.25">
      <c r="C469" s="43"/>
    </row>
    <row r="470" spans="3:3" x14ac:dyDescent="0.25">
      <c r="C470" s="43"/>
    </row>
    <row r="471" spans="3:3" x14ac:dyDescent="0.25">
      <c r="C471" s="43"/>
    </row>
    <row r="472" spans="3:3" x14ac:dyDescent="0.25">
      <c r="C472" s="43"/>
    </row>
    <row r="473" spans="3:3" x14ac:dyDescent="0.25">
      <c r="C473" s="43"/>
    </row>
    <row r="474" spans="3:3" x14ac:dyDescent="0.25">
      <c r="C474" s="43"/>
    </row>
    <row r="475" spans="3:3" x14ac:dyDescent="0.25">
      <c r="C475" s="43"/>
    </row>
    <row r="476" spans="3:3" x14ac:dyDescent="0.25">
      <c r="C476" s="43"/>
    </row>
    <row r="477" spans="3:3" x14ac:dyDescent="0.25">
      <c r="C477" s="43"/>
    </row>
    <row r="478" spans="3:3" x14ac:dyDescent="0.25">
      <c r="C478" s="43"/>
    </row>
    <row r="479" spans="3:3" x14ac:dyDescent="0.25">
      <c r="C479" s="43"/>
    </row>
    <row r="480" spans="3:3" x14ac:dyDescent="0.25">
      <c r="C480" s="43"/>
    </row>
    <row r="481" spans="3:3" x14ac:dyDescent="0.25">
      <c r="C481" s="43"/>
    </row>
    <row r="482" spans="3:3" x14ac:dyDescent="0.25">
      <c r="C482" s="43"/>
    </row>
    <row r="483" spans="3:3" x14ac:dyDescent="0.25">
      <c r="C483" s="43"/>
    </row>
    <row r="484" spans="3:3" x14ac:dyDescent="0.25">
      <c r="C484" s="43"/>
    </row>
    <row r="485" spans="3:3" x14ac:dyDescent="0.25">
      <c r="C485" s="43"/>
    </row>
    <row r="486" spans="3:3" x14ac:dyDescent="0.25">
      <c r="C486" s="43"/>
    </row>
    <row r="487" spans="3:3" x14ac:dyDescent="0.25">
      <c r="C487" s="43"/>
    </row>
    <row r="488" spans="3:3" x14ac:dyDescent="0.25">
      <c r="C488" s="43"/>
    </row>
    <row r="489" spans="3:3" x14ac:dyDescent="0.25">
      <c r="C489" s="43"/>
    </row>
    <row r="490" spans="3:3" x14ac:dyDescent="0.25">
      <c r="C490" s="43"/>
    </row>
    <row r="491" spans="3:3" x14ac:dyDescent="0.25">
      <c r="C491" s="43"/>
    </row>
    <row r="492" spans="3:3" x14ac:dyDescent="0.25">
      <c r="C492" s="43"/>
    </row>
    <row r="493" spans="3:3" x14ac:dyDescent="0.25">
      <c r="C493" s="43"/>
    </row>
    <row r="494" spans="3:3" x14ac:dyDescent="0.25">
      <c r="C494" s="43"/>
    </row>
    <row r="495" spans="3:3" x14ac:dyDescent="0.25">
      <c r="C495" s="43"/>
    </row>
    <row r="496" spans="3:3" x14ac:dyDescent="0.25">
      <c r="C496" s="43"/>
    </row>
    <row r="497" spans="3:3" x14ac:dyDescent="0.25">
      <c r="C497" s="43"/>
    </row>
    <row r="498" spans="3:3" x14ac:dyDescent="0.25">
      <c r="C498" s="43"/>
    </row>
    <row r="499" spans="3:3" x14ac:dyDescent="0.25">
      <c r="C499" s="43"/>
    </row>
    <row r="500" spans="3:3" x14ac:dyDescent="0.25">
      <c r="C500" s="43"/>
    </row>
    <row r="501" spans="3:3" x14ac:dyDescent="0.25">
      <c r="C501" s="43"/>
    </row>
    <row r="502" spans="3:3" x14ac:dyDescent="0.25">
      <c r="C502" s="43"/>
    </row>
    <row r="503" spans="3:3" x14ac:dyDescent="0.25">
      <c r="C503" s="43"/>
    </row>
    <row r="504" spans="3:3" x14ac:dyDescent="0.25">
      <c r="C504" s="43"/>
    </row>
    <row r="505" spans="3:3" x14ac:dyDescent="0.25">
      <c r="C505" s="43"/>
    </row>
    <row r="506" spans="3:3" x14ac:dyDescent="0.25">
      <c r="C506" s="43"/>
    </row>
    <row r="507" spans="3:3" x14ac:dyDescent="0.25">
      <c r="C507" s="43"/>
    </row>
    <row r="508" spans="3:3" x14ac:dyDescent="0.25">
      <c r="C508" s="43"/>
    </row>
    <row r="509" spans="3:3" x14ac:dyDescent="0.25">
      <c r="C509" s="43"/>
    </row>
    <row r="510" spans="3:3" x14ac:dyDescent="0.25">
      <c r="C510" s="43"/>
    </row>
    <row r="511" spans="3:3" x14ac:dyDescent="0.25">
      <c r="C511" s="43"/>
    </row>
    <row r="512" spans="3:3" x14ac:dyDescent="0.25">
      <c r="C512" s="43"/>
    </row>
    <row r="513" spans="3:3" x14ac:dyDescent="0.25">
      <c r="C513" s="43"/>
    </row>
    <row r="514" spans="3:3" x14ac:dyDescent="0.25">
      <c r="C514" s="43"/>
    </row>
    <row r="515" spans="3:3" x14ac:dyDescent="0.25">
      <c r="C515" s="43"/>
    </row>
    <row r="516" spans="3:3" x14ac:dyDescent="0.25">
      <c r="C516" s="43"/>
    </row>
    <row r="517" spans="3:3" x14ac:dyDescent="0.25">
      <c r="C517" s="43"/>
    </row>
    <row r="518" spans="3:3" x14ac:dyDescent="0.25">
      <c r="C518" s="43"/>
    </row>
    <row r="519" spans="3:3" x14ac:dyDescent="0.25">
      <c r="C519" s="43"/>
    </row>
    <row r="520" spans="3:3" x14ac:dyDescent="0.25">
      <c r="C520" s="43"/>
    </row>
    <row r="521" spans="3:3" x14ac:dyDescent="0.25">
      <c r="C521" s="43"/>
    </row>
    <row r="522" spans="3:3" x14ac:dyDescent="0.25">
      <c r="C522" s="43"/>
    </row>
    <row r="523" spans="3:3" x14ac:dyDescent="0.25">
      <c r="C523" s="43"/>
    </row>
    <row r="524" spans="3:3" x14ac:dyDescent="0.25">
      <c r="C524" s="43"/>
    </row>
    <row r="525" spans="3:3" x14ac:dyDescent="0.25">
      <c r="C525" s="43"/>
    </row>
    <row r="526" spans="3:3" x14ac:dyDescent="0.25">
      <c r="C526" s="43"/>
    </row>
    <row r="527" spans="3:3" x14ac:dyDescent="0.25">
      <c r="C527" s="43"/>
    </row>
    <row r="528" spans="3:3" x14ac:dyDescent="0.25">
      <c r="C528" s="43"/>
    </row>
    <row r="529" spans="3:3" x14ac:dyDescent="0.25">
      <c r="C529" s="43"/>
    </row>
    <row r="530" spans="3:3" x14ac:dyDescent="0.25">
      <c r="C530" s="43"/>
    </row>
    <row r="531" spans="3:3" x14ac:dyDescent="0.25">
      <c r="C531" s="43"/>
    </row>
    <row r="532" spans="3:3" x14ac:dyDescent="0.25">
      <c r="C532" s="43"/>
    </row>
    <row r="533" spans="3:3" x14ac:dyDescent="0.25">
      <c r="C533" s="43"/>
    </row>
    <row r="534" spans="3:3" x14ac:dyDescent="0.25">
      <c r="C534" s="43"/>
    </row>
    <row r="535" spans="3:3" x14ac:dyDescent="0.25">
      <c r="C535" s="43"/>
    </row>
    <row r="536" spans="3:3" x14ac:dyDescent="0.25">
      <c r="C536" s="43"/>
    </row>
    <row r="537" spans="3:3" x14ac:dyDescent="0.25">
      <c r="C537" s="43"/>
    </row>
    <row r="538" spans="3:3" x14ac:dyDescent="0.25">
      <c r="C538" s="43"/>
    </row>
    <row r="539" spans="3:3" x14ac:dyDescent="0.25">
      <c r="C539" s="43"/>
    </row>
    <row r="540" spans="3:3" x14ac:dyDescent="0.25">
      <c r="C540" s="43"/>
    </row>
    <row r="541" spans="3:3" x14ac:dyDescent="0.25">
      <c r="C541" s="43"/>
    </row>
    <row r="542" spans="3:3" x14ac:dyDescent="0.25">
      <c r="C542" s="43"/>
    </row>
    <row r="543" spans="3:3" x14ac:dyDescent="0.25">
      <c r="C543" s="43"/>
    </row>
    <row r="544" spans="3:3" x14ac:dyDescent="0.25">
      <c r="C544" s="43"/>
    </row>
    <row r="545" spans="3:3" x14ac:dyDescent="0.25">
      <c r="C545" s="43"/>
    </row>
    <row r="546" spans="3:3" x14ac:dyDescent="0.25">
      <c r="C546" s="43"/>
    </row>
    <row r="547" spans="3:3" x14ac:dyDescent="0.25">
      <c r="C547" s="43"/>
    </row>
    <row r="548" spans="3:3" x14ac:dyDescent="0.25">
      <c r="C548" s="43"/>
    </row>
    <row r="549" spans="3:3" x14ac:dyDescent="0.25">
      <c r="C549" s="43"/>
    </row>
    <row r="550" spans="3:3" x14ac:dyDescent="0.25">
      <c r="C550" s="43"/>
    </row>
    <row r="551" spans="3:3" x14ac:dyDescent="0.25">
      <c r="C551" s="43"/>
    </row>
    <row r="552" spans="3:3" x14ac:dyDescent="0.25">
      <c r="C552" s="43"/>
    </row>
    <row r="553" spans="3:3" x14ac:dyDescent="0.25">
      <c r="C553" s="43"/>
    </row>
    <row r="554" spans="3:3" x14ac:dyDescent="0.25">
      <c r="C554" s="43"/>
    </row>
    <row r="555" spans="3:3" x14ac:dyDescent="0.25">
      <c r="C555" s="43"/>
    </row>
    <row r="556" spans="3:3" x14ac:dyDescent="0.25">
      <c r="C556" s="43"/>
    </row>
    <row r="557" spans="3:3" x14ac:dyDescent="0.25">
      <c r="C557" s="43"/>
    </row>
    <row r="558" spans="3:3" x14ac:dyDescent="0.25">
      <c r="C558" s="43"/>
    </row>
    <row r="559" spans="3:3" x14ac:dyDescent="0.25">
      <c r="C559" s="43"/>
    </row>
    <row r="560" spans="3:3" x14ac:dyDescent="0.25">
      <c r="C560" s="43"/>
    </row>
    <row r="561" spans="3:3" x14ac:dyDescent="0.25">
      <c r="C561" s="43"/>
    </row>
    <row r="562" spans="3:3" x14ac:dyDescent="0.25">
      <c r="C562" s="43"/>
    </row>
    <row r="563" spans="3:3" x14ac:dyDescent="0.25">
      <c r="C563" s="43"/>
    </row>
    <row r="564" spans="3:3" x14ac:dyDescent="0.25">
      <c r="C564" s="43"/>
    </row>
    <row r="565" spans="3:3" x14ac:dyDescent="0.25">
      <c r="C565" s="43"/>
    </row>
    <row r="566" spans="3:3" x14ac:dyDescent="0.25">
      <c r="C566" s="43"/>
    </row>
    <row r="567" spans="3:3" x14ac:dyDescent="0.25">
      <c r="C567" s="43"/>
    </row>
    <row r="568" spans="3:3" x14ac:dyDescent="0.25">
      <c r="C568" s="43"/>
    </row>
    <row r="569" spans="3:3" x14ac:dyDescent="0.25">
      <c r="C569" s="43"/>
    </row>
    <row r="570" spans="3:3" x14ac:dyDescent="0.25">
      <c r="C570" s="43"/>
    </row>
    <row r="571" spans="3:3" x14ac:dyDescent="0.25">
      <c r="C571" s="43"/>
    </row>
    <row r="572" spans="3:3" x14ac:dyDescent="0.25">
      <c r="C572" s="43"/>
    </row>
    <row r="573" spans="3:3" x14ac:dyDescent="0.25">
      <c r="C573" s="43"/>
    </row>
    <row r="574" spans="3:3" x14ac:dyDescent="0.25">
      <c r="C574" s="43"/>
    </row>
    <row r="575" spans="3:3" x14ac:dyDescent="0.25">
      <c r="C575" s="43"/>
    </row>
    <row r="576" spans="3:3" x14ac:dyDescent="0.25">
      <c r="C576" s="43"/>
    </row>
    <row r="577" spans="3:3" x14ac:dyDescent="0.25">
      <c r="C577" s="43"/>
    </row>
    <row r="578" spans="3:3" x14ac:dyDescent="0.25">
      <c r="C578" s="43"/>
    </row>
    <row r="579" spans="3:3" x14ac:dyDescent="0.25">
      <c r="C579" s="43"/>
    </row>
    <row r="580" spans="3:3" x14ac:dyDescent="0.25">
      <c r="C580" s="43"/>
    </row>
    <row r="581" spans="3:3" x14ac:dyDescent="0.25">
      <c r="C581" s="43"/>
    </row>
    <row r="582" spans="3:3" x14ac:dyDescent="0.25">
      <c r="C582" s="43"/>
    </row>
    <row r="583" spans="3:3" x14ac:dyDescent="0.25">
      <c r="C583" s="43"/>
    </row>
    <row r="584" spans="3:3" x14ac:dyDescent="0.25">
      <c r="C584" s="43"/>
    </row>
    <row r="585" spans="3:3" x14ac:dyDescent="0.25">
      <c r="C585" s="43"/>
    </row>
    <row r="586" spans="3:3" x14ac:dyDescent="0.25">
      <c r="C586" s="43"/>
    </row>
    <row r="587" spans="3:3" x14ac:dyDescent="0.25">
      <c r="C587" s="43"/>
    </row>
    <row r="588" spans="3:3" x14ac:dyDescent="0.25">
      <c r="C588" s="43"/>
    </row>
    <row r="589" spans="3:3" x14ac:dyDescent="0.25">
      <c r="C589" s="43"/>
    </row>
    <row r="590" spans="3:3" x14ac:dyDescent="0.25">
      <c r="C590" s="43"/>
    </row>
    <row r="591" spans="3:3" x14ac:dyDescent="0.25">
      <c r="C591" s="43"/>
    </row>
    <row r="592" spans="3:3" x14ac:dyDescent="0.25">
      <c r="C592" s="43"/>
    </row>
    <row r="593" spans="3:3" x14ac:dyDescent="0.25">
      <c r="C593" s="43"/>
    </row>
    <row r="594" spans="3:3" x14ac:dyDescent="0.25">
      <c r="C594" s="43"/>
    </row>
    <row r="595" spans="3:3" x14ac:dyDescent="0.25">
      <c r="C595" s="43"/>
    </row>
    <row r="596" spans="3:3" x14ac:dyDescent="0.25">
      <c r="C596" s="43"/>
    </row>
    <row r="597" spans="3:3" x14ac:dyDescent="0.25">
      <c r="C597" s="43"/>
    </row>
    <row r="598" spans="3:3" x14ac:dyDescent="0.25">
      <c r="C598" s="43"/>
    </row>
    <row r="599" spans="3:3" x14ac:dyDescent="0.25">
      <c r="C599" s="43"/>
    </row>
    <row r="600" spans="3:3" x14ac:dyDescent="0.25">
      <c r="C600" s="43"/>
    </row>
    <row r="601" spans="3:3" x14ac:dyDescent="0.25">
      <c r="C601" s="43"/>
    </row>
    <row r="602" spans="3:3" x14ac:dyDescent="0.25">
      <c r="C602" s="43"/>
    </row>
    <row r="603" spans="3:3" x14ac:dyDescent="0.25">
      <c r="C603" s="43"/>
    </row>
    <row r="604" spans="3:3" x14ac:dyDescent="0.25">
      <c r="C604" s="43"/>
    </row>
    <row r="605" spans="3:3" x14ac:dyDescent="0.25">
      <c r="C605" s="43"/>
    </row>
    <row r="606" spans="3:3" x14ac:dyDescent="0.25">
      <c r="C606" s="43"/>
    </row>
    <row r="607" spans="3:3" x14ac:dyDescent="0.25">
      <c r="C607" s="43"/>
    </row>
    <row r="608" spans="3:3" x14ac:dyDescent="0.25">
      <c r="C608" s="43"/>
    </row>
    <row r="609" spans="3:3" x14ac:dyDescent="0.25">
      <c r="C609" s="43"/>
    </row>
    <row r="610" spans="3:3" x14ac:dyDescent="0.25">
      <c r="C610" s="43"/>
    </row>
    <row r="611" spans="3:3" x14ac:dyDescent="0.25">
      <c r="C611" s="43"/>
    </row>
    <row r="612" spans="3:3" x14ac:dyDescent="0.25">
      <c r="C612" s="43"/>
    </row>
    <row r="613" spans="3:3" x14ac:dyDescent="0.25">
      <c r="C613" s="43"/>
    </row>
    <row r="614" spans="3:3" x14ac:dyDescent="0.25">
      <c r="C614" s="43"/>
    </row>
    <row r="615" spans="3:3" x14ac:dyDescent="0.25">
      <c r="C615" s="43"/>
    </row>
    <row r="616" spans="3:3" x14ac:dyDescent="0.25">
      <c r="C616" s="43"/>
    </row>
    <row r="617" spans="3:3" x14ac:dyDescent="0.25">
      <c r="C617" s="43"/>
    </row>
    <row r="618" spans="3:3" x14ac:dyDescent="0.25">
      <c r="C618" s="43"/>
    </row>
    <row r="619" spans="3:3" x14ac:dyDescent="0.25">
      <c r="C619" s="43"/>
    </row>
    <row r="620" spans="3:3" x14ac:dyDescent="0.25">
      <c r="C620" s="43"/>
    </row>
    <row r="621" spans="3:3" x14ac:dyDescent="0.25">
      <c r="C621" s="43"/>
    </row>
    <row r="622" spans="3:3" x14ac:dyDescent="0.25">
      <c r="C622" s="43"/>
    </row>
    <row r="623" spans="3:3" x14ac:dyDescent="0.25">
      <c r="C623" s="43"/>
    </row>
    <row r="624" spans="3:3" x14ac:dyDescent="0.25">
      <c r="C624" s="43"/>
    </row>
    <row r="625" spans="3:3" x14ac:dyDescent="0.25">
      <c r="C625" s="43"/>
    </row>
    <row r="626" spans="3:3" x14ac:dyDescent="0.25">
      <c r="C626" s="43"/>
    </row>
    <row r="627" spans="3:3" x14ac:dyDescent="0.25">
      <c r="C627" s="43"/>
    </row>
    <row r="628" spans="3:3" x14ac:dyDescent="0.25">
      <c r="C628" s="43"/>
    </row>
    <row r="629" spans="3:3" x14ac:dyDescent="0.25">
      <c r="C629" s="43"/>
    </row>
    <row r="630" spans="3:3" x14ac:dyDescent="0.25">
      <c r="C630" s="43"/>
    </row>
    <row r="631" spans="3:3" x14ac:dyDescent="0.25">
      <c r="C631" s="43"/>
    </row>
    <row r="632" spans="3:3" x14ac:dyDescent="0.25">
      <c r="C632" s="43"/>
    </row>
    <row r="633" spans="3:3" x14ac:dyDescent="0.25">
      <c r="C633" s="43"/>
    </row>
    <row r="634" spans="3:3" x14ac:dyDescent="0.25">
      <c r="C634" s="43"/>
    </row>
    <row r="635" spans="3:3" x14ac:dyDescent="0.25">
      <c r="C635" s="43"/>
    </row>
    <row r="636" spans="3:3" x14ac:dyDescent="0.25">
      <c r="C636" s="43"/>
    </row>
    <row r="637" spans="3:3" x14ac:dyDescent="0.25">
      <c r="C637" s="43"/>
    </row>
    <row r="638" spans="3:3" x14ac:dyDescent="0.25">
      <c r="C638" s="43"/>
    </row>
    <row r="639" spans="3:3" x14ac:dyDescent="0.25">
      <c r="C639" s="43"/>
    </row>
    <row r="640" spans="3:3" x14ac:dyDescent="0.25">
      <c r="C640" s="43"/>
    </row>
    <row r="641" spans="3:3" x14ac:dyDescent="0.25">
      <c r="C641" s="43"/>
    </row>
    <row r="642" spans="3:3" x14ac:dyDescent="0.25">
      <c r="C642" s="43"/>
    </row>
    <row r="643" spans="3:3" x14ac:dyDescent="0.25">
      <c r="C643" s="43"/>
    </row>
    <row r="644" spans="3:3" x14ac:dyDescent="0.25">
      <c r="C644" s="43"/>
    </row>
    <row r="645" spans="3:3" x14ac:dyDescent="0.25">
      <c r="C645" s="43"/>
    </row>
    <row r="646" spans="3:3" x14ac:dyDescent="0.25">
      <c r="C646" s="43"/>
    </row>
    <row r="647" spans="3:3" x14ac:dyDescent="0.25">
      <c r="C647" s="43"/>
    </row>
    <row r="648" spans="3:3" x14ac:dyDescent="0.25">
      <c r="C648" s="43"/>
    </row>
    <row r="649" spans="3:3" x14ac:dyDescent="0.25">
      <c r="C649" s="43"/>
    </row>
    <row r="650" spans="3:3" x14ac:dyDescent="0.25">
      <c r="C650" s="43"/>
    </row>
    <row r="651" spans="3:3" x14ac:dyDescent="0.25">
      <c r="C651" s="43"/>
    </row>
    <row r="652" spans="3:3" x14ac:dyDescent="0.25">
      <c r="C652" s="43"/>
    </row>
    <row r="653" spans="3:3" x14ac:dyDescent="0.25">
      <c r="C653" s="43"/>
    </row>
    <row r="654" spans="3:3" x14ac:dyDescent="0.25">
      <c r="C654" s="43"/>
    </row>
    <row r="655" spans="3:3" x14ac:dyDescent="0.25">
      <c r="C655" s="43"/>
    </row>
    <row r="656" spans="3:3" x14ac:dyDescent="0.25">
      <c r="C656" s="43"/>
    </row>
    <row r="657" spans="3:3" x14ac:dyDescent="0.25">
      <c r="C657" s="43"/>
    </row>
    <row r="658" spans="3:3" x14ac:dyDescent="0.25">
      <c r="C658" s="43"/>
    </row>
    <row r="659" spans="3:3" x14ac:dyDescent="0.25">
      <c r="C659" s="43"/>
    </row>
    <row r="660" spans="3:3" x14ac:dyDescent="0.25">
      <c r="C660" s="43"/>
    </row>
    <row r="661" spans="3:3" x14ac:dyDescent="0.25">
      <c r="C661" s="43"/>
    </row>
    <row r="662" spans="3:3" x14ac:dyDescent="0.25">
      <c r="C662" s="43"/>
    </row>
    <row r="663" spans="3:3" x14ac:dyDescent="0.25">
      <c r="C663" s="43"/>
    </row>
    <row r="664" spans="3:3" x14ac:dyDescent="0.25">
      <c r="C664" s="43"/>
    </row>
    <row r="665" spans="3:3" x14ac:dyDescent="0.25">
      <c r="C665" s="43"/>
    </row>
    <row r="666" spans="3:3" x14ac:dyDescent="0.25">
      <c r="C666" s="43"/>
    </row>
    <row r="667" spans="3:3" x14ac:dyDescent="0.25">
      <c r="C667" s="43"/>
    </row>
    <row r="668" spans="3:3" x14ac:dyDescent="0.25">
      <c r="C668" s="43"/>
    </row>
    <row r="669" spans="3:3" x14ac:dyDescent="0.25">
      <c r="C669" s="43"/>
    </row>
    <row r="670" spans="3:3" x14ac:dyDescent="0.25">
      <c r="C670" s="43"/>
    </row>
    <row r="671" spans="3:3" x14ac:dyDescent="0.25">
      <c r="C671" s="43"/>
    </row>
    <row r="672" spans="3:3" x14ac:dyDescent="0.25">
      <c r="C672" s="43"/>
    </row>
    <row r="673" spans="3:3" x14ac:dyDescent="0.25">
      <c r="C673" s="43"/>
    </row>
    <row r="674" spans="3:3" x14ac:dyDescent="0.25">
      <c r="C674" s="43"/>
    </row>
    <row r="675" spans="3:3" x14ac:dyDescent="0.25">
      <c r="C675" s="43"/>
    </row>
    <row r="676" spans="3:3" x14ac:dyDescent="0.25">
      <c r="C676" s="43"/>
    </row>
    <row r="677" spans="3:3" x14ac:dyDescent="0.25">
      <c r="C677" s="43"/>
    </row>
    <row r="678" spans="3:3" x14ac:dyDescent="0.25">
      <c r="C678" s="43"/>
    </row>
    <row r="679" spans="3:3" x14ac:dyDescent="0.25">
      <c r="C679" s="43"/>
    </row>
    <row r="680" spans="3:3" x14ac:dyDescent="0.25">
      <c r="C680" s="43"/>
    </row>
    <row r="681" spans="3:3" x14ac:dyDescent="0.25">
      <c r="C681" s="43"/>
    </row>
    <row r="682" spans="3:3" x14ac:dyDescent="0.25">
      <c r="C682" s="43"/>
    </row>
    <row r="683" spans="3:3" x14ac:dyDescent="0.25">
      <c r="C683" s="43"/>
    </row>
    <row r="684" spans="3:3" x14ac:dyDescent="0.25">
      <c r="C684" s="43"/>
    </row>
    <row r="685" spans="3:3" x14ac:dyDescent="0.25">
      <c r="C685" s="43"/>
    </row>
    <row r="686" spans="3:3" x14ac:dyDescent="0.25">
      <c r="C686" s="43"/>
    </row>
    <row r="687" spans="3:3" x14ac:dyDescent="0.25">
      <c r="C687" s="43"/>
    </row>
    <row r="688" spans="3:3" x14ac:dyDescent="0.25">
      <c r="C688" s="43"/>
    </row>
    <row r="689" spans="3:3" x14ac:dyDescent="0.25">
      <c r="C689" s="43"/>
    </row>
    <row r="690" spans="3:3" x14ac:dyDescent="0.25">
      <c r="C690" s="43"/>
    </row>
    <row r="691" spans="3:3" x14ac:dyDescent="0.25">
      <c r="C691" s="43"/>
    </row>
    <row r="692" spans="3:3" x14ac:dyDescent="0.25">
      <c r="C692" s="43"/>
    </row>
    <row r="693" spans="3:3" x14ac:dyDescent="0.25">
      <c r="C693" s="43"/>
    </row>
    <row r="694" spans="3:3" x14ac:dyDescent="0.25">
      <c r="C694" s="43"/>
    </row>
    <row r="695" spans="3:3" x14ac:dyDescent="0.25">
      <c r="C695" s="43"/>
    </row>
    <row r="696" spans="3:3" x14ac:dyDescent="0.25">
      <c r="C696" s="43"/>
    </row>
    <row r="697" spans="3:3" x14ac:dyDescent="0.25">
      <c r="C697" s="43"/>
    </row>
    <row r="698" spans="3:3" x14ac:dyDescent="0.25">
      <c r="C698" s="43"/>
    </row>
    <row r="699" spans="3:3" x14ac:dyDescent="0.25">
      <c r="C699" s="43"/>
    </row>
    <row r="700" spans="3:3" x14ac:dyDescent="0.25">
      <c r="C700" s="43"/>
    </row>
    <row r="701" spans="3:3" x14ac:dyDescent="0.25">
      <c r="C701" s="43"/>
    </row>
    <row r="702" spans="3:3" x14ac:dyDescent="0.25">
      <c r="C702" s="43"/>
    </row>
    <row r="703" spans="3:3" x14ac:dyDescent="0.25">
      <c r="C703" s="43"/>
    </row>
    <row r="704" spans="3:3" x14ac:dyDescent="0.25">
      <c r="C704" s="43"/>
    </row>
    <row r="705" spans="3:3" x14ac:dyDescent="0.25">
      <c r="C705" s="43"/>
    </row>
    <row r="706" spans="3:3" x14ac:dyDescent="0.25">
      <c r="C706" s="43"/>
    </row>
    <row r="707" spans="3:3" x14ac:dyDescent="0.25">
      <c r="C707" s="43"/>
    </row>
    <row r="708" spans="3:3" x14ac:dyDescent="0.25">
      <c r="C708" s="43"/>
    </row>
    <row r="709" spans="3:3" x14ac:dyDescent="0.25">
      <c r="C709" s="43"/>
    </row>
    <row r="710" spans="3:3" x14ac:dyDescent="0.25">
      <c r="C710" s="43"/>
    </row>
    <row r="711" spans="3:3" x14ac:dyDescent="0.25">
      <c r="C711" s="43"/>
    </row>
    <row r="712" spans="3:3" x14ac:dyDescent="0.25">
      <c r="C712" s="43"/>
    </row>
    <row r="713" spans="3:3" x14ac:dyDescent="0.25">
      <c r="C713" s="43"/>
    </row>
    <row r="714" spans="3:3" x14ac:dyDescent="0.25">
      <c r="C714" s="43"/>
    </row>
    <row r="715" spans="3:3" x14ac:dyDescent="0.25">
      <c r="C715" s="43"/>
    </row>
    <row r="716" spans="3:3" x14ac:dyDescent="0.25">
      <c r="C716" s="43"/>
    </row>
    <row r="717" spans="3:3" x14ac:dyDescent="0.25">
      <c r="C717" s="43"/>
    </row>
    <row r="718" spans="3:3" x14ac:dyDescent="0.25">
      <c r="C718" s="43"/>
    </row>
    <row r="719" spans="3:3" x14ac:dyDescent="0.25">
      <c r="C719" s="43"/>
    </row>
    <row r="720" spans="3:3" x14ac:dyDescent="0.25">
      <c r="C720" s="43"/>
    </row>
    <row r="721" spans="3:3" x14ac:dyDescent="0.25">
      <c r="C721" s="43"/>
    </row>
    <row r="722" spans="3:3" x14ac:dyDescent="0.25">
      <c r="C722" s="43"/>
    </row>
    <row r="723" spans="3:3" x14ac:dyDescent="0.25">
      <c r="C723" s="43"/>
    </row>
    <row r="724" spans="3:3" x14ac:dyDescent="0.25">
      <c r="C724" s="43"/>
    </row>
    <row r="725" spans="3:3" x14ac:dyDescent="0.25">
      <c r="C725" s="43"/>
    </row>
    <row r="726" spans="3:3" x14ac:dyDescent="0.25">
      <c r="C726" s="43"/>
    </row>
    <row r="727" spans="3:3" x14ac:dyDescent="0.25">
      <c r="C727" s="43"/>
    </row>
    <row r="728" spans="3:3" x14ac:dyDescent="0.25">
      <c r="C728" s="43"/>
    </row>
    <row r="729" spans="3:3" x14ac:dyDescent="0.25">
      <c r="C729" s="43"/>
    </row>
    <row r="730" spans="3:3" x14ac:dyDescent="0.25">
      <c r="C730" s="43"/>
    </row>
    <row r="731" spans="3:3" x14ac:dyDescent="0.25">
      <c r="C731" s="43"/>
    </row>
    <row r="732" spans="3:3" x14ac:dyDescent="0.25">
      <c r="C732" s="43"/>
    </row>
    <row r="733" spans="3:3" x14ac:dyDescent="0.25">
      <c r="C733" s="43"/>
    </row>
    <row r="734" spans="3:3" x14ac:dyDescent="0.25">
      <c r="C734" s="43"/>
    </row>
    <row r="735" spans="3:3" x14ac:dyDescent="0.25">
      <c r="C735" s="43"/>
    </row>
    <row r="736" spans="3:3" x14ac:dyDescent="0.25">
      <c r="C736" s="43"/>
    </row>
    <row r="737" spans="3:3" x14ac:dyDescent="0.25">
      <c r="C737" s="43"/>
    </row>
    <row r="738" spans="3:3" x14ac:dyDescent="0.25">
      <c r="C738" s="43"/>
    </row>
    <row r="739" spans="3:3" x14ac:dyDescent="0.25">
      <c r="C739" s="43"/>
    </row>
    <row r="740" spans="3:3" x14ac:dyDescent="0.25">
      <c r="C740" s="43"/>
    </row>
    <row r="741" spans="3:3" x14ac:dyDescent="0.25">
      <c r="C741" s="43"/>
    </row>
    <row r="742" spans="3:3" x14ac:dyDescent="0.25">
      <c r="C742" s="43"/>
    </row>
    <row r="743" spans="3:3" x14ac:dyDescent="0.25">
      <c r="C743" s="43"/>
    </row>
    <row r="744" spans="3:3" x14ac:dyDescent="0.25">
      <c r="C744" s="43"/>
    </row>
    <row r="745" spans="3:3" x14ac:dyDescent="0.25">
      <c r="C745" s="43"/>
    </row>
    <row r="746" spans="3:3" x14ac:dyDescent="0.25">
      <c r="C746" s="43"/>
    </row>
    <row r="747" spans="3:3" x14ac:dyDescent="0.25">
      <c r="C747" s="43"/>
    </row>
    <row r="748" spans="3:3" x14ac:dyDescent="0.25">
      <c r="C748" s="43"/>
    </row>
    <row r="749" spans="3:3" x14ac:dyDescent="0.25">
      <c r="C749" s="43"/>
    </row>
    <row r="750" spans="3:3" x14ac:dyDescent="0.25">
      <c r="C750" s="43"/>
    </row>
    <row r="751" spans="3:3" x14ac:dyDescent="0.25">
      <c r="C751" s="43"/>
    </row>
    <row r="752" spans="3:3" x14ac:dyDescent="0.25">
      <c r="C752" s="43"/>
    </row>
    <row r="753" spans="3:3" x14ac:dyDescent="0.25">
      <c r="C753" s="43"/>
    </row>
    <row r="754" spans="3:3" x14ac:dyDescent="0.25">
      <c r="C754" s="43"/>
    </row>
    <row r="755" spans="3:3" x14ac:dyDescent="0.25">
      <c r="C755" s="43"/>
    </row>
    <row r="756" spans="3:3" x14ac:dyDescent="0.25">
      <c r="C756" s="43"/>
    </row>
    <row r="757" spans="3:3" x14ac:dyDescent="0.25">
      <c r="C757" s="43"/>
    </row>
    <row r="758" spans="3:3" x14ac:dyDescent="0.25">
      <c r="C758" s="43"/>
    </row>
    <row r="759" spans="3:3" x14ac:dyDescent="0.25">
      <c r="C759" s="43"/>
    </row>
    <row r="760" spans="3:3" x14ac:dyDescent="0.25">
      <c r="C760" s="43"/>
    </row>
    <row r="761" spans="3:3" x14ac:dyDescent="0.25">
      <c r="C761" s="43"/>
    </row>
    <row r="762" spans="3:3" x14ac:dyDescent="0.25">
      <c r="C762" s="43"/>
    </row>
    <row r="763" spans="3:3" x14ac:dyDescent="0.25">
      <c r="C763" s="43"/>
    </row>
    <row r="764" spans="3:3" x14ac:dyDescent="0.25">
      <c r="C764" s="43"/>
    </row>
    <row r="765" spans="3:3" x14ac:dyDescent="0.25">
      <c r="C765" s="43"/>
    </row>
    <row r="766" spans="3:3" x14ac:dyDescent="0.25">
      <c r="C766" s="43"/>
    </row>
    <row r="767" spans="3:3" x14ac:dyDescent="0.25">
      <c r="C767" s="43"/>
    </row>
    <row r="768" spans="3:3" x14ac:dyDescent="0.25">
      <c r="C768" s="43"/>
    </row>
    <row r="769" spans="3:3" x14ac:dyDescent="0.25">
      <c r="C769" s="43"/>
    </row>
    <row r="770" spans="3:3" x14ac:dyDescent="0.25">
      <c r="C770" s="43"/>
    </row>
    <row r="771" spans="3:3" x14ac:dyDescent="0.25">
      <c r="C771" s="43"/>
    </row>
    <row r="772" spans="3:3" x14ac:dyDescent="0.25">
      <c r="C772" s="43"/>
    </row>
    <row r="773" spans="3:3" x14ac:dyDescent="0.25">
      <c r="C773" s="43"/>
    </row>
    <row r="774" spans="3:3" x14ac:dyDescent="0.25">
      <c r="C774" s="43"/>
    </row>
    <row r="775" spans="3:3" x14ac:dyDescent="0.25">
      <c r="C775" s="43"/>
    </row>
    <row r="776" spans="3:3" x14ac:dyDescent="0.25">
      <c r="C776" s="43"/>
    </row>
    <row r="777" spans="3:3" x14ac:dyDescent="0.25">
      <c r="C777" s="43"/>
    </row>
    <row r="778" spans="3:3" x14ac:dyDescent="0.25">
      <c r="C778" s="43"/>
    </row>
    <row r="779" spans="3:3" x14ac:dyDescent="0.25">
      <c r="C779" s="43"/>
    </row>
    <row r="780" spans="3:3" x14ac:dyDescent="0.25">
      <c r="C780" s="43"/>
    </row>
    <row r="781" spans="3:3" x14ac:dyDescent="0.25">
      <c r="C781" s="43"/>
    </row>
    <row r="782" spans="3:3" x14ac:dyDescent="0.25">
      <c r="C782" s="43"/>
    </row>
    <row r="783" spans="3:3" x14ac:dyDescent="0.25">
      <c r="C783" s="43"/>
    </row>
    <row r="784" spans="3:3" x14ac:dyDescent="0.25">
      <c r="C784" s="43"/>
    </row>
    <row r="785" spans="3:3" x14ac:dyDescent="0.25">
      <c r="C785" s="43"/>
    </row>
    <row r="786" spans="3:3" x14ac:dyDescent="0.25">
      <c r="C786" s="43"/>
    </row>
    <row r="787" spans="3:3" x14ac:dyDescent="0.25">
      <c r="C787" s="43"/>
    </row>
    <row r="788" spans="3:3" x14ac:dyDescent="0.25">
      <c r="C788" s="43"/>
    </row>
    <row r="789" spans="3:3" x14ac:dyDescent="0.25">
      <c r="C789" s="43"/>
    </row>
    <row r="790" spans="3:3" x14ac:dyDescent="0.25">
      <c r="C790" s="43"/>
    </row>
    <row r="791" spans="3:3" x14ac:dyDescent="0.25">
      <c r="C791" s="43"/>
    </row>
    <row r="792" spans="3:3" x14ac:dyDescent="0.25">
      <c r="C792" s="43"/>
    </row>
    <row r="793" spans="3:3" x14ac:dyDescent="0.25">
      <c r="C793" s="43"/>
    </row>
    <row r="794" spans="3:3" x14ac:dyDescent="0.25">
      <c r="C794" s="43"/>
    </row>
    <row r="795" spans="3:3" x14ac:dyDescent="0.25">
      <c r="C795" s="43"/>
    </row>
    <row r="796" spans="3:3" x14ac:dyDescent="0.25">
      <c r="C796" s="43"/>
    </row>
    <row r="797" spans="3:3" x14ac:dyDescent="0.25">
      <c r="C797" s="43"/>
    </row>
    <row r="798" spans="3:3" x14ac:dyDescent="0.25">
      <c r="C798" s="43"/>
    </row>
    <row r="799" spans="3:3" x14ac:dyDescent="0.25">
      <c r="C799" s="43"/>
    </row>
    <row r="800" spans="3:3" x14ac:dyDescent="0.25">
      <c r="C800" s="43"/>
    </row>
    <row r="801" spans="3:3" x14ac:dyDescent="0.25">
      <c r="C801" s="43"/>
    </row>
    <row r="802" spans="3:3" x14ac:dyDescent="0.25">
      <c r="C802" s="43"/>
    </row>
    <row r="803" spans="3:3" x14ac:dyDescent="0.25">
      <c r="C803" s="43"/>
    </row>
    <row r="804" spans="3:3" x14ac:dyDescent="0.25">
      <c r="C804" s="43"/>
    </row>
    <row r="805" spans="3:3" x14ac:dyDescent="0.25">
      <c r="C805" s="43"/>
    </row>
    <row r="806" spans="3:3" x14ac:dyDescent="0.25">
      <c r="C806" s="43"/>
    </row>
    <row r="807" spans="3:3" x14ac:dyDescent="0.25">
      <c r="C807" s="43"/>
    </row>
    <row r="808" spans="3:3" x14ac:dyDescent="0.25">
      <c r="C808" s="43"/>
    </row>
    <row r="809" spans="3:3" x14ac:dyDescent="0.25">
      <c r="C809" s="43"/>
    </row>
    <row r="810" spans="3:3" x14ac:dyDescent="0.25">
      <c r="C810" s="43"/>
    </row>
    <row r="811" spans="3:3" x14ac:dyDescent="0.25">
      <c r="C811" s="43"/>
    </row>
    <row r="812" spans="3:3" x14ac:dyDescent="0.25">
      <c r="C812" s="43"/>
    </row>
    <row r="813" spans="3:3" x14ac:dyDescent="0.25">
      <c r="C813" s="43"/>
    </row>
    <row r="814" spans="3:3" x14ac:dyDescent="0.25">
      <c r="C814" s="43"/>
    </row>
    <row r="815" spans="3:3" x14ac:dyDescent="0.25">
      <c r="C815" s="43"/>
    </row>
    <row r="816" spans="3:3" x14ac:dyDescent="0.25">
      <c r="C816" s="43"/>
    </row>
    <row r="817" spans="3:3" x14ac:dyDescent="0.25">
      <c r="C817" s="43"/>
    </row>
    <row r="818" spans="3:3" x14ac:dyDescent="0.25">
      <c r="C818" s="43"/>
    </row>
    <row r="819" spans="3:3" x14ac:dyDescent="0.25">
      <c r="C819" s="43"/>
    </row>
    <row r="820" spans="3:3" x14ac:dyDescent="0.25">
      <c r="C820" s="43"/>
    </row>
    <row r="821" spans="3:3" x14ac:dyDescent="0.25">
      <c r="C821" s="43"/>
    </row>
    <row r="822" spans="3:3" x14ac:dyDescent="0.25">
      <c r="C822" s="43"/>
    </row>
    <row r="823" spans="3:3" x14ac:dyDescent="0.25">
      <c r="C823" s="43"/>
    </row>
    <row r="824" spans="3:3" x14ac:dyDescent="0.25">
      <c r="C824" s="43"/>
    </row>
    <row r="825" spans="3:3" x14ac:dyDescent="0.25">
      <c r="C825" s="43"/>
    </row>
    <row r="826" spans="3:3" x14ac:dyDescent="0.25">
      <c r="C826" s="43"/>
    </row>
    <row r="827" spans="3:3" x14ac:dyDescent="0.25">
      <c r="C827" s="43"/>
    </row>
    <row r="828" spans="3:3" x14ac:dyDescent="0.25">
      <c r="C828" s="43"/>
    </row>
    <row r="829" spans="3:3" x14ac:dyDescent="0.25">
      <c r="C829" s="43"/>
    </row>
    <row r="830" spans="3:3" x14ac:dyDescent="0.25">
      <c r="C830" s="43"/>
    </row>
    <row r="831" spans="3:3" x14ac:dyDescent="0.25">
      <c r="C831" s="43"/>
    </row>
    <row r="832" spans="3:3" x14ac:dyDescent="0.25">
      <c r="C832" s="43"/>
    </row>
    <row r="833" spans="3:3" x14ac:dyDescent="0.25">
      <c r="C833" s="43"/>
    </row>
    <row r="834" spans="3:3" x14ac:dyDescent="0.25">
      <c r="C834" s="43"/>
    </row>
    <row r="835" spans="3:3" x14ac:dyDescent="0.25">
      <c r="C835" s="43"/>
    </row>
    <row r="836" spans="3:3" x14ac:dyDescent="0.25">
      <c r="C836" s="43"/>
    </row>
    <row r="837" spans="3:3" x14ac:dyDescent="0.25">
      <c r="C837" s="43"/>
    </row>
    <row r="838" spans="3:3" x14ac:dyDescent="0.25">
      <c r="C838" s="43"/>
    </row>
    <row r="839" spans="3:3" x14ac:dyDescent="0.25">
      <c r="C839" s="43"/>
    </row>
    <row r="840" spans="3:3" x14ac:dyDescent="0.25">
      <c r="C840" s="43"/>
    </row>
    <row r="841" spans="3:3" x14ac:dyDescent="0.25">
      <c r="C841" s="43"/>
    </row>
    <row r="842" spans="3:3" x14ac:dyDescent="0.25">
      <c r="C842" s="43"/>
    </row>
    <row r="843" spans="3:3" x14ac:dyDescent="0.25">
      <c r="C843" s="43"/>
    </row>
    <row r="844" spans="3:3" x14ac:dyDescent="0.25">
      <c r="C844" s="43"/>
    </row>
    <row r="845" spans="3:3" x14ac:dyDescent="0.25">
      <c r="C845" s="43"/>
    </row>
    <row r="846" spans="3:3" x14ac:dyDescent="0.25">
      <c r="C846" s="43"/>
    </row>
    <row r="847" spans="3:3" x14ac:dyDescent="0.25">
      <c r="C847" s="43"/>
    </row>
    <row r="848" spans="3:3" x14ac:dyDescent="0.25">
      <c r="C848" s="43"/>
    </row>
    <row r="849" spans="3:3" x14ac:dyDescent="0.25">
      <c r="C849" s="43"/>
    </row>
    <row r="850" spans="3:3" x14ac:dyDescent="0.25">
      <c r="C850" s="43"/>
    </row>
    <row r="851" spans="3:3" x14ac:dyDescent="0.25">
      <c r="C851" s="43"/>
    </row>
    <row r="852" spans="3:3" x14ac:dyDescent="0.25">
      <c r="C852" s="43"/>
    </row>
    <row r="853" spans="3:3" x14ac:dyDescent="0.25">
      <c r="C853" s="43"/>
    </row>
    <row r="854" spans="3:3" x14ac:dyDescent="0.25">
      <c r="C854" s="43"/>
    </row>
    <row r="855" spans="3:3" x14ac:dyDescent="0.25">
      <c r="C855" s="43"/>
    </row>
    <row r="856" spans="3:3" x14ac:dyDescent="0.25">
      <c r="C856" s="43"/>
    </row>
    <row r="857" spans="3:3" x14ac:dyDescent="0.25">
      <c r="C857" s="43"/>
    </row>
    <row r="858" spans="3:3" x14ac:dyDescent="0.25">
      <c r="C858" s="43"/>
    </row>
    <row r="859" spans="3:3" x14ac:dyDescent="0.25">
      <c r="C859" s="43"/>
    </row>
    <row r="860" spans="3:3" x14ac:dyDescent="0.25">
      <c r="C860" s="43"/>
    </row>
    <row r="861" spans="3:3" x14ac:dyDescent="0.25">
      <c r="C861" s="43"/>
    </row>
    <row r="862" spans="3:3" x14ac:dyDescent="0.25">
      <c r="C862" s="43"/>
    </row>
    <row r="863" spans="3:3" x14ac:dyDescent="0.25">
      <c r="C863" s="43"/>
    </row>
    <row r="864" spans="3:3" x14ac:dyDescent="0.25">
      <c r="C864" s="43"/>
    </row>
    <row r="865" spans="3:3" x14ac:dyDescent="0.25">
      <c r="C865" s="43"/>
    </row>
    <row r="866" spans="3:3" x14ac:dyDescent="0.25">
      <c r="C866" s="43"/>
    </row>
    <row r="867" spans="3:3" x14ac:dyDescent="0.25">
      <c r="C867" s="43"/>
    </row>
    <row r="868" spans="3:3" x14ac:dyDescent="0.25">
      <c r="C868" s="43"/>
    </row>
    <row r="869" spans="3:3" x14ac:dyDescent="0.25">
      <c r="C869" s="43"/>
    </row>
    <row r="870" spans="3:3" x14ac:dyDescent="0.25">
      <c r="C870" s="43"/>
    </row>
    <row r="871" spans="3:3" x14ac:dyDescent="0.25">
      <c r="C871" s="43"/>
    </row>
    <row r="872" spans="3:3" x14ac:dyDescent="0.25">
      <c r="C872" s="43"/>
    </row>
    <row r="873" spans="3:3" x14ac:dyDescent="0.25">
      <c r="C873" s="43"/>
    </row>
    <row r="874" spans="3:3" x14ac:dyDescent="0.25">
      <c r="C874" s="43"/>
    </row>
    <row r="875" spans="3:3" x14ac:dyDescent="0.25">
      <c r="C875" s="43"/>
    </row>
    <row r="876" spans="3:3" x14ac:dyDescent="0.25">
      <c r="C876" s="43"/>
    </row>
    <row r="877" spans="3:3" x14ac:dyDescent="0.25">
      <c r="C877" s="43"/>
    </row>
    <row r="878" spans="3:3" x14ac:dyDescent="0.25">
      <c r="C878" s="43"/>
    </row>
    <row r="879" spans="3:3" x14ac:dyDescent="0.25">
      <c r="C879" s="43"/>
    </row>
    <row r="880" spans="3:3" x14ac:dyDescent="0.25">
      <c r="C880" s="43"/>
    </row>
    <row r="881" spans="3:3" x14ac:dyDescent="0.25">
      <c r="C881" s="43"/>
    </row>
    <row r="882" spans="3:3" x14ac:dyDescent="0.25">
      <c r="C882" s="43"/>
    </row>
    <row r="883" spans="3:3" x14ac:dyDescent="0.25">
      <c r="C883" s="43"/>
    </row>
    <row r="884" spans="3:3" x14ac:dyDescent="0.25">
      <c r="C884" s="43"/>
    </row>
    <row r="885" spans="3:3" x14ac:dyDescent="0.25">
      <c r="C885" s="43"/>
    </row>
    <row r="886" spans="3:3" x14ac:dyDescent="0.25">
      <c r="C886" s="43"/>
    </row>
    <row r="887" spans="3:3" x14ac:dyDescent="0.25">
      <c r="C887" s="43"/>
    </row>
    <row r="888" spans="3:3" x14ac:dyDescent="0.25">
      <c r="C888" s="43"/>
    </row>
    <row r="889" spans="3:3" x14ac:dyDescent="0.25">
      <c r="C889" s="43"/>
    </row>
    <row r="890" spans="3:3" x14ac:dyDescent="0.25">
      <c r="C890" s="43"/>
    </row>
    <row r="891" spans="3:3" x14ac:dyDescent="0.25">
      <c r="C891" s="43"/>
    </row>
    <row r="892" spans="3:3" x14ac:dyDescent="0.25">
      <c r="C892" s="43"/>
    </row>
    <row r="893" spans="3:3" x14ac:dyDescent="0.25">
      <c r="C893" s="43"/>
    </row>
    <row r="894" spans="3:3" x14ac:dyDescent="0.25">
      <c r="C894" s="43"/>
    </row>
    <row r="895" spans="3:3" x14ac:dyDescent="0.25">
      <c r="C895" s="43"/>
    </row>
    <row r="896" spans="3:3" x14ac:dyDescent="0.25">
      <c r="C896" s="43"/>
    </row>
    <row r="897" spans="3:3" x14ac:dyDescent="0.25">
      <c r="C897" s="43"/>
    </row>
    <row r="898" spans="3:3" x14ac:dyDescent="0.25">
      <c r="C898" s="43"/>
    </row>
    <row r="899" spans="3:3" x14ac:dyDescent="0.25">
      <c r="C899" s="43"/>
    </row>
    <row r="900" spans="3:3" x14ac:dyDescent="0.25">
      <c r="C900" s="43"/>
    </row>
    <row r="901" spans="3:3" x14ac:dyDescent="0.25">
      <c r="C901" s="43"/>
    </row>
    <row r="902" spans="3:3" x14ac:dyDescent="0.25">
      <c r="C902" s="43"/>
    </row>
    <row r="903" spans="3:3" x14ac:dyDescent="0.25">
      <c r="C903" s="43"/>
    </row>
    <row r="904" spans="3:3" x14ac:dyDescent="0.25">
      <c r="C904" s="43"/>
    </row>
    <row r="905" spans="3:3" x14ac:dyDescent="0.25">
      <c r="C905" s="43"/>
    </row>
    <row r="906" spans="3:3" x14ac:dyDescent="0.25">
      <c r="C906" s="43"/>
    </row>
    <row r="907" spans="3:3" x14ac:dyDescent="0.25">
      <c r="C907" s="43"/>
    </row>
    <row r="908" spans="3:3" x14ac:dyDescent="0.25">
      <c r="C908" s="43"/>
    </row>
    <row r="909" spans="3:3" x14ac:dyDescent="0.25">
      <c r="C909" s="43"/>
    </row>
    <row r="910" spans="3:3" x14ac:dyDescent="0.25">
      <c r="C910" s="43"/>
    </row>
    <row r="911" spans="3:3" x14ac:dyDescent="0.25">
      <c r="C911" s="43"/>
    </row>
    <row r="912" spans="3:3" x14ac:dyDescent="0.25">
      <c r="C912" s="43"/>
    </row>
    <row r="913" spans="3:3" x14ac:dyDescent="0.25">
      <c r="C913" s="43"/>
    </row>
    <row r="914" spans="3:3" x14ac:dyDescent="0.25">
      <c r="C914" s="43"/>
    </row>
    <row r="915" spans="3:3" x14ac:dyDescent="0.25">
      <c r="C915" s="43"/>
    </row>
    <row r="916" spans="3:3" x14ac:dyDescent="0.25">
      <c r="C916" s="43"/>
    </row>
    <row r="917" spans="3:3" x14ac:dyDescent="0.25">
      <c r="C917" s="43"/>
    </row>
    <row r="918" spans="3:3" x14ac:dyDescent="0.25">
      <c r="C918" s="43"/>
    </row>
    <row r="919" spans="3:3" x14ac:dyDescent="0.25">
      <c r="C919" s="43"/>
    </row>
    <row r="920" spans="3:3" x14ac:dyDescent="0.25">
      <c r="C920" s="43"/>
    </row>
    <row r="921" spans="3:3" x14ac:dyDescent="0.25">
      <c r="C921" s="43"/>
    </row>
    <row r="922" spans="3:3" x14ac:dyDescent="0.25">
      <c r="C922" s="43"/>
    </row>
    <row r="923" spans="3:3" x14ac:dyDescent="0.25">
      <c r="C923" s="43"/>
    </row>
    <row r="924" spans="3:3" x14ac:dyDescent="0.25">
      <c r="C924" s="43"/>
    </row>
    <row r="925" spans="3:3" x14ac:dyDescent="0.25">
      <c r="C925" s="43"/>
    </row>
    <row r="926" spans="3:3" x14ac:dyDescent="0.25">
      <c r="C926" s="43"/>
    </row>
    <row r="927" spans="3:3" x14ac:dyDescent="0.25">
      <c r="C927" s="43"/>
    </row>
    <row r="928" spans="3:3" x14ac:dyDescent="0.25">
      <c r="C928" s="43"/>
    </row>
    <row r="929" spans="3:3" x14ac:dyDescent="0.25">
      <c r="C929" s="43"/>
    </row>
    <row r="930" spans="3:3" x14ac:dyDescent="0.25">
      <c r="C930" s="43"/>
    </row>
    <row r="931" spans="3:3" x14ac:dyDescent="0.25">
      <c r="C931" s="43"/>
    </row>
    <row r="932" spans="3:3" x14ac:dyDescent="0.25">
      <c r="C932" s="43"/>
    </row>
    <row r="933" spans="3:3" x14ac:dyDescent="0.25">
      <c r="C933" s="43"/>
    </row>
    <row r="934" spans="3:3" x14ac:dyDescent="0.25">
      <c r="C934" s="43"/>
    </row>
    <row r="935" spans="3:3" x14ac:dyDescent="0.25">
      <c r="C935" s="43"/>
    </row>
    <row r="936" spans="3:3" x14ac:dyDescent="0.25">
      <c r="C936" s="43"/>
    </row>
    <row r="937" spans="3:3" x14ac:dyDescent="0.25">
      <c r="C937" s="43"/>
    </row>
    <row r="938" spans="3:3" x14ac:dyDescent="0.25">
      <c r="C938" s="43"/>
    </row>
    <row r="939" spans="3:3" x14ac:dyDescent="0.25">
      <c r="C939" s="43"/>
    </row>
    <row r="940" spans="3:3" x14ac:dyDescent="0.25">
      <c r="C940" s="43"/>
    </row>
    <row r="941" spans="3:3" x14ac:dyDescent="0.25">
      <c r="C941" s="43"/>
    </row>
    <row r="942" spans="3:3" x14ac:dyDescent="0.25">
      <c r="C942" s="43"/>
    </row>
    <row r="943" spans="3:3" x14ac:dyDescent="0.25">
      <c r="C943" s="43"/>
    </row>
    <row r="944" spans="3:3" x14ac:dyDescent="0.25">
      <c r="C944" s="43"/>
    </row>
    <row r="945" spans="3:3" x14ac:dyDescent="0.25">
      <c r="C945" s="43"/>
    </row>
    <row r="946" spans="3:3" x14ac:dyDescent="0.25">
      <c r="C946" s="43"/>
    </row>
    <row r="947" spans="3:3" x14ac:dyDescent="0.25">
      <c r="C947" s="43"/>
    </row>
    <row r="948" spans="3:3" x14ac:dyDescent="0.25">
      <c r="C948" s="43"/>
    </row>
    <row r="949" spans="3:3" x14ac:dyDescent="0.25">
      <c r="C949" s="43"/>
    </row>
    <row r="950" spans="3:3" x14ac:dyDescent="0.25">
      <c r="C950" s="43"/>
    </row>
    <row r="951" spans="3:3" x14ac:dyDescent="0.25">
      <c r="C951" s="43"/>
    </row>
    <row r="952" spans="3:3" x14ac:dyDescent="0.25">
      <c r="C952" s="43"/>
    </row>
    <row r="953" spans="3:3" x14ac:dyDescent="0.25">
      <c r="C953" s="43"/>
    </row>
    <row r="954" spans="3:3" x14ac:dyDescent="0.25">
      <c r="C954" s="43"/>
    </row>
    <row r="955" spans="3:3" x14ac:dyDescent="0.25">
      <c r="C955" s="43"/>
    </row>
    <row r="956" spans="3:3" x14ac:dyDescent="0.25">
      <c r="C956" s="43"/>
    </row>
    <row r="957" spans="3:3" x14ac:dyDescent="0.25">
      <c r="C957" s="43"/>
    </row>
    <row r="958" spans="3:3" x14ac:dyDescent="0.25">
      <c r="C958" s="43"/>
    </row>
    <row r="959" spans="3:3" x14ac:dyDescent="0.25">
      <c r="C959" s="43"/>
    </row>
    <row r="960" spans="3:3" x14ac:dyDescent="0.25">
      <c r="C960" s="43"/>
    </row>
    <row r="961" spans="3:3" x14ac:dyDescent="0.25">
      <c r="C961" s="43"/>
    </row>
    <row r="962" spans="3:3" x14ac:dyDescent="0.25">
      <c r="C962" s="43"/>
    </row>
    <row r="963" spans="3:3" x14ac:dyDescent="0.25">
      <c r="C963" s="43"/>
    </row>
    <row r="964" spans="3:3" x14ac:dyDescent="0.25">
      <c r="C964" s="43"/>
    </row>
    <row r="965" spans="3:3" x14ac:dyDescent="0.25">
      <c r="C965" s="43"/>
    </row>
    <row r="966" spans="3:3" x14ac:dyDescent="0.25">
      <c r="C966" s="43"/>
    </row>
    <row r="967" spans="3:3" x14ac:dyDescent="0.25">
      <c r="C967" s="43"/>
    </row>
    <row r="968" spans="3:3" x14ac:dyDescent="0.25">
      <c r="C968" s="43"/>
    </row>
    <row r="969" spans="3:3" x14ac:dyDescent="0.25">
      <c r="C969" s="43"/>
    </row>
    <row r="970" spans="3:3" x14ac:dyDescent="0.25">
      <c r="C970" s="43"/>
    </row>
    <row r="971" spans="3:3" x14ac:dyDescent="0.25">
      <c r="C971" s="43"/>
    </row>
    <row r="972" spans="3:3" x14ac:dyDescent="0.25">
      <c r="C972" s="43"/>
    </row>
    <row r="973" spans="3:3" x14ac:dyDescent="0.25">
      <c r="C973" s="43"/>
    </row>
    <row r="974" spans="3:3" x14ac:dyDescent="0.25">
      <c r="C974" s="43"/>
    </row>
    <row r="975" spans="3:3" x14ac:dyDescent="0.25">
      <c r="C975" s="43"/>
    </row>
    <row r="976" spans="3:3" x14ac:dyDescent="0.25">
      <c r="C976" s="43"/>
    </row>
    <row r="977" spans="3:3" x14ac:dyDescent="0.25">
      <c r="C977" s="43"/>
    </row>
    <row r="978" spans="3:3" x14ac:dyDescent="0.25">
      <c r="C978" s="43"/>
    </row>
    <row r="979" spans="3:3" x14ac:dyDescent="0.25">
      <c r="C979" s="43"/>
    </row>
    <row r="980" spans="3:3" x14ac:dyDescent="0.25">
      <c r="C980" s="43"/>
    </row>
    <row r="981" spans="3:3" x14ac:dyDescent="0.25">
      <c r="C981" s="43"/>
    </row>
    <row r="982" spans="3:3" x14ac:dyDescent="0.25">
      <c r="C982" s="43"/>
    </row>
    <row r="983" spans="3:3" x14ac:dyDescent="0.25">
      <c r="C983" s="43"/>
    </row>
    <row r="984" spans="3:3" x14ac:dyDescent="0.25">
      <c r="C984" s="43"/>
    </row>
    <row r="985" spans="3:3" x14ac:dyDescent="0.25">
      <c r="C985" s="43"/>
    </row>
    <row r="986" spans="3:3" x14ac:dyDescent="0.25">
      <c r="C986" s="43"/>
    </row>
    <row r="987" spans="3:3" x14ac:dyDescent="0.25">
      <c r="C987" s="43"/>
    </row>
    <row r="988" spans="3:3" x14ac:dyDescent="0.25">
      <c r="C988" s="43"/>
    </row>
    <row r="989" spans="3:3" x14ac:dyDescent="0.25">
      <c r="C989" s="43"/>
    </row>
    <row r="990" spans="3:3" x14ac:dyDescent="0.25">
      <c r="C990" s="43"/>
    </row>
    <row r="991" spans="3:3" x14ac:dyDescent="0.25">
      <c r="C991" s="43"/>
    </row>
    <row r="992" spans="3:3" x14ac:dyDescent="0.25">
      <c r="C992" s="43"/>
    </row>
    <row r="993" spans="3:3" x14ac:dyDescent="0.25">
      <c r="C993" s="43"/>
    </row>
    <row r="994" spans="3:3" x14ac:dyDescent="0.25">
      <c r="C994" s="43"/>
    </row>
    <row r="995" spans="3:3" x14ac:dyDescent="0.25">
      <c r="C995" s="43"/>
    </row>
    <row r="996" spans="3:3" x14ac:dyDescent="0.25">
      <c r="C996" s="43"/>
    </row>
    <row r="997" spans="3:3" x14ac:dyDescent="0.25">
      <c r="C997" s="43"/>
    </row>
    <row r="998" spans="3:3" x14ac:dyDescent="0.25">
      <c r="C998" s="43"/>
    </row>
    <row r="999" spans="3:3" x14ac:dyDescent="0.25">
      <c r="C999" s="43"/>
    </row>
    <row r="1000" spans="3:3" x14ac:dyDescent="0.25">
      <c r="C1000" s="43"/>
    </row>
    <row r="1001" spans="3:3" x14ac:dyDescent="0.25">
      <c r="C1001" s="43"/>
    </row>
    <row r="1002" spans="3:3" x14ac:dyDescent="0.25">
      <c r="C1002" s="43"/>
    </row>
    <row r="1003" spans="3:3" x14ac:dyDescent="0.25">
      <c r="C1003" s="43"/>
    </row>
    <row r="1004" spans="3:3" x14ac:dyDescent="0.25">
      <c r="C1004" s="43"/>
    </row>
    <row r="1005" spans="3:3" x14ac:dyDescent="0.25">
      <c r="C1005" s="43"/>
    </row>
    <row r="1006" spans="3:3" x14ac:dyDescent="0.25">
      <c r="C1006" s="43"/>
    </row>
    <row r="1007" spans="3:3" x14ac:dyDescent="0.25">
      <c r="C1007" s="43"/>
    </row>
    <row r="1008" spans="3:3" x14ac:dyDescent="0.25">
      <c r="C1008" s="43"/>
    </row>
    <row r="1009" spans="3:3" x14ac:dyDescent="0.25">
      <c r="C1009" s="43"/>
    </row>
    <row r="1010" spans="3:3" x14ac:dyDescent="0.25">
      <c r="C1010" s="43"/>
    </row>
    <row r="1011" spans="3:3" x14ac:dyDescent="0.25">
      <c r="C1011" s="43"/>
    </row>
    <row r="1012" spans="3:3" x14ac:dyDescent="0.25">
      <c r="C1012" s="43"/>
    </row>
    <row r="1013" spans="3:3" x14ac:dyDescent="0.25">
      <c r="C1013" s="43"/>
    </row>
    <row r="1014" spans="3:3" x14ac:dyDescent="0.25">
      <c r="C1014" s="43"/>
    </row>
    <row r="1015" spans="3:3" x14ac:dyDescent="0.25">
      <c r="C1015" s="43"/>
    </row>
    <row r="1016" spans="3:3" x14ac:dyDescent="0.25">
      <c r="C1016" s="43"/>
    </row>
    <row r="1017" spans="3:3" x14ac:dyDescent="0.25">
      <c r="C1017" s="43"/>
    </row>
    <row r="1018" spans="3:3" x14ac:dyDescent="0.25">
      <c r="C1018" s="43"/>
    </row>
    <row r="1019" spans="3:3" x14ac:dyDescent="0.25">
      <c r="C1019" s="43"/>
    </row>
    <row r="1020" spans="3:3" x14ac:dyDescent="0.25">
      <c r="C1020" s="43"/>
    </row>
    <row r="1021" spans="3:3" x14ac:dyDescent="0.25">
      <c r="C1021" s="43"/>
    </row>
    <row r="1022" spans="3:3" x14ac:dyDescent="0.25">
      <c r="C1022" s="43"/>
    </row>
    <row r="1023" spans="3:3" x14ac:dyDescent="0.25">
      <c r="C1023" s="43"/>
    </row>
    <row r="1024" spans="3:3" x14ac:dyDescent="0.25">
      <c r="C1024" s="43"/>
    </row>
    <row r="1025" spans="3:3" x14ac:dyDescent="0.25">
      <c r="C1025" s="43"/>
    </row>
    <row r="1026" spans="3:3" x14ac:dyDescent="0.25">
      <c r="C1026" s="43"/>
    </row>
    <row r="1027" spans="3:3" x14ac:dyDescent="0.25">
      <c r="C1027" s="43"/>
    </row>
    <row r="1028" spans="3:3" x14ac:dyDescent="0.25">
      <c r="C1028" s="43"/>
    </row>
  </sheetData>
  <dataValidations count="2">
    <dataValidation type="decimal" allowBlank="1" showInputMessage="1" showErrorMessage="1" errorTitle="CHYBA!!!" error="Zadané číslo není správná hodnota pro obsah alfa látek. Zadejte číslo mezi 0-20 %." promptTitle="Zadávání" prompt="Zadejte číslo obsahu alfa-hořkých látek udané výrobcem na sáčku s chemelem. Zadání proveďte v procentech možná hodnota pouze mezi 0-20 %." sqref="C280:C1044">
      <formula1>0</formula1>
      <formula2>0.2</formula2>
    </dataValidation>
    <dataValidation type="decimal" allowBlank="1" showInputMessage="1" showErrorMessage="1" errorTitle="CHYBA!!!" error="Zadané číslo není správná hodnota pro obsah alfa látek. Zadejte číslo mezi 0-20 %." promptTitle="Zadávání" prompt="Zadejte číslo obsahu alfa-hořkých látek udané výrobcem na sáčku s chemelem. Zadání proveďte v procentech možná hodnota pouze mezi 0-20 %." sqref="C2:C62 C63:C279">
      <formula1>0</formula1>
      <formula2>20</formula2>
    </dataValidation>
  </dataValidations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2</vt:i4>
      </vt:variant>
    </vt:vector>
  </HeadingPairs>
  <TitlesOfParts>
    <vt:vector size="2" baseType="lpstr">
      <vt:lpstr>estimation</vt:lpstr>
      <vt:lpstr>hops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Novotný</dc:creator>
  <cp:lastModifiedBy>Petr Novotný</cp:lastModifiedBy>
  <dcterms:created xsi:type="dcterms:W3CDTF">2016-10-23T22:02:38Z</dcterms:created>
  <dcterms:modified xsi:type="dcterms:W3CDTF">2018-02-10T20:22:51Z</dcterms:modified>
</cp:coreProperties>
</file>